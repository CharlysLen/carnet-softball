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cripts_en_vuelo\Carnet Softball\"/>
    </mc:Choice>
  </mc:AlternateContent>
  <xr:revisionPtr revIDLastSave="0" documentId="8_{C1D963D4-665D-454A-B5D2-0E94DBECFF51}" xr6:coauthVersionLast="47" xr6:coauthVersionMax="47" xr10:uidLastSave="{00000000-0000-0000-0000-000000000000}"/>
  <bookViews>
    <workbookView xWindow="14295" yWindow="0" windowWidth="14610" windowHeight="15585" firstSheet="1" activeTab="1" xr2:uid="{5FD495CE-EDD0-4E44-B0E7-D63F6A9A35E0}"/>
  </bookViews>
  <sheets>
    <sheet name="ROSTER" sheetId="1" r:id="rId1"/>
    <sheet name="LINEUP" sheetId="3" r:id="rId2"/>
    <sheet name="Hoja2" sheetId="7" r:id="rId3"/>
    <sheet name="Hoja1" sheetId="5" r:id="rId4"/>
    <sheet name="CAMISAS PRESTADA" sheetId="4" r:id="rId5"/>
    <sheet name="PAGO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9" i="7" l="1"/>
  <c r="M19" i="7"/>
  <c r="N19" i="7"/>
  <c r="F19" i="7"/>
  <c r="G19" i="7"/>
  <c r="H19" i="7"/>
  <c r="I19" i="7"/>
  <c r="J19" i="7"/>
  <c r="K19" i="7"/>
  <c r="P19" i="7"/>
  <c r="D19" i="7"/>
  <c r="L19" i="7"/>
  <c r="C19" i="7"/>
  <c r="P15" i="7"/>
  <c r="P16" i="7"/>
  <c r="P17" i="7"/>
  <c r="P18" i="7"/>
  <c r="P4" i="7"/>
  <c r="P5" i="7"/>
  <c r="P6" i="7"/>
  <c r="P7" i="7"/>
  <c r="P8" i="7"/>
  <c r="P9" i="7"/>
  <c r="P10" i="7"/>
  <c r="P11" i="7"/>
  <c r="P12" i="7"/>
  <c r="P3" i="7"/>
  <c r="E19" i="7"/>
  <c r="P18" i="6"/>
  <c r="K21" i="6"/>
  <c r="M21" i="6" s="1"/>
  <c r="J21" i="6"/>
  <c r="J20" i="6"/>
  <c r="L17" i="6"/>
  <c r="K17" i="6"/>
  <c r="L16" i="6"/>
  <c r="M16" i="6" s="1"/>
  <c r="K16" i="6"/>
  <c r="L15" i="6"/>
  <c r="K15" i="6"/>
  <c r="L14" i="6"/>
  <c r="K14" i="6"/>
  <c r="M14" i="6" s="1"/>
  <c r="L13" i="6"/>
  <c r="L11" i="6"/>
  <c r="M11" i="6" s="1"/>
  <c r="L9" i="6"/>
  <c r="L8" i="6"/>
  <c r="L4" i="6"/>
  <c r="M4" i="6" s="1"/>
  <c r="L2" i="6"/>
  <c r="K20" i="6"/>
  <c r="K13" i="6"/>
  <c r="M13" i="6" s="1"/>
  <c r="K12" i="6"/>
  <c r="K11" i="6"/>
  <c r="K9" i="6"/>
  <c r="K8" i="6"/>
  <c r="K5" i="6"/>
  <c r="K4" i="6"/>
  <c r="P24" i="6"/>
  <c r="K2" i="6"/>
  <c r="L12" i="6"/>
  <c r="M12" i="6"/>
  <c r="J12" i="6"/>
  <c r="U4" i="6"/>
  <c r="L20" i="6"/>
  <c r="M19" i="6"/>
  <c r="M18" i="6"/>
  <c r="J17" i="6"/>
  <c r="J16" i="6"/>
  <c r="J15" i="6"/>
  <c r="J13" i="6"/>
  <c r="M10" i="6"/>
  <c r="M7" i="6"/>
  <c r="M6" i="6"/>
  <c r="M5" i="6"/>
  <c r="L5" i="6"/>
  <c r="U3" i="6"/>
  <c r="Q3" i="6"/>
  <c r="M3" i="6"/>
  <c r="T2" i="6"/>
  <c r="T3" i="6" s="1"/>
  <c r="Q2" i="6"/>
  <c r="Q18" i="6" s="1"/>
  <c r="M2" i="6"/>
  <c r="P1" i="6"/>
  <c r="H4" i="1"/>
  <c r="G3" i="1"/>
  <c r="H3" i="1" s="1"/>
  <c r="G2" i="1"/>
  <c r="H2" i="1" s="1"/>
  <c r="M17" i="6" l="1"/>
  <c r="M15" i="6"/>
  <c r="M9" i="6"/>
  <c r="M8" i="6"/>
  <c r="M20" i="6"/>
  <c r="R18" i="6"/>
  <c r="H5" i="1"/>
  <c r="H7" i="1" s="1"/>
</calcChain>
</file>

<file path=xl/sharedStrings.xml><?xml version="1.0" encoding="utf-8"?>
<sst xmlns="http://schemas.openxmlformats.org/spreadsheetml/2006/main" count="266" uniqueCount="119">
  <si>
    <t>Nº</t>
  </si>
  <si>
    <t>JUGADORES</t>
  </si>
  <si>
    <t xml:space="preserve">POSICION </t>
  </si>
  <si>
    <t xml:space="preserve">CONFIRMADO </t>
  </si>
  <si>
    <t>DUDAS</t>
  </si>
  <si>
    <t>NO</t>
  </si>
  <si>
    <t>JR</t>
  </si>
  <si>
    <t>SS</t>
  </si>
  <si>
    <t>U</t>
  </si>
  <si>
    <t>OF</t>
  </si>
  <si>
    <t>IF</t>
  </si>
  <si>
    <t>OF/P</t>
  </si>
  <si>
    <t>ANDRES REINA</t>
  </si>
  <si>
    <t>WILFREDO TORO</t>
  </si>
  <si>
    <t>EZEQUIEL LORENZO</t>
  </si>
  <si>
    <t>DIEGO RAMIREZ</t>
  </si>
  <si>
    <t>P/IF</t>
  </si>
  <si>
    <t>CELESTINO ARAGONES</t>
  </si>
  <si>
    <t>JOSE NORMAN</t>
  </si>
  <si>
    <t>JACQUES CHANG</t>
  </si>
  <si>
    <t>LUIS LEAL</t>
  </si>
  <si>
    <t>RAUL MENDOZA</t>
  </si>
  <si>
    <t>ROBERTO PUCHI</t>
  </si>
  <si>
    <t>P/3era</t>
  </si>
  <si>
    <t>JOSHUA RODRIGUEZ</t>
  </si>
  <si>
    <t>EDUARDO VIDAL</t>
  </si>
  <si>
    <t>No</t>
  </si>
  <si>
    <t>JUGADOR</t>
  </si>
  <si>
    <t>H</t>
  </si>
  <si>
    <t>O</t>
  </si>
  <si>
    <t>1er TURNO</t>
  </si>
  <si>
    <t>DEFENSA</t>
  </si>
  <si>
    <t>E</t>
  </si>
  <si>
    <t>A</t>
  </si>
  <si>
    <t>POS</t>
  </si>
  <si>
    <t>TOTALES</t>
  </si>
  <si>
    <t>I</t>
  </si>
  <si>
    <t>D</t>
  </si>
  <si>
    <t>B</t>
  </si>
  <si>
    <t>K</t>
  </si>
  <si>
    <t>2dor TURNO</t>
  </si>
  <si>
    <t>3ero TURNO</t>
  </si>
  <si>
    <t>4toTURNO</t>
  </si>
  <si>
    <t>5toTURNO</t>
  </si>
  <si>
    <t>OMAR MARTINEZ</t>
  </si>
  <si>
    <t>OSWALDO TORRES</t>
  </si>
  <si>
    <t>LEONARDO ROJAS</t>
  </si>
  <si>
    <t>C/1b</t>
  </si>
  <si>
    <t>CARLOS</t>
  </si>
  <si>
    <t>S</t>
  </si>
  <si>
    <t>ALEJANDRO GALLO</t>
  </si>
  <si>
    <t>LUIS MANUEL</t>
  </si>
  <si>
    <t>LUIS DIAZ</t>
  </si>
  <si>
    <t xml:space="preserve">OSVEL </t>
  </si>
  <si>
    <t>JOSE DAVID</t>
  </si>
  <si>
    <t>P/U</t>
  </si>
  <si>
    <t>FRANCISCO NAVARRO</t>
  </si>
  <si>
    <t>NIEVES</t>
  </si>
  <si>
    <t>BARVARA</t>
  </si>
  <si>
    <t xml:space="preserve">PIRI </t>
  </si>
  <si>
    <t>MICHAEL</t>
  </si>
  <si>
    <t>ISA</t>
  </si>
  <si>
    <t>JAVIER R</t>
  </si>
  <si>
    <t>33 Y 54</t>
  </si>
  <si>
    <t xml:space="preserve">ARMANDO </t>
  </si>
  <si>
    <t>LEO</t>
  </si>
  <si>
    <t>COMPRAR</t>
  </si>
  <si>
    <t>MERWIL AGUILERA</t>
  </si>
  <si>
    <t>GUILLERMO RODRIGUEZ</t>
  </si>
  <si>
    <t>La inscripción de la Liga consiste en 1350 euros. Este pago será segmentado en 4 partes:</t>
  </si>
  <si>
    <r>
      <t>1. 100 euros</t>
    </r>
    <r>
      <rPr>
        <sz val="10"/>
        <color rgb="FF1D2228"/>
        <rFont val="Arial"/>
        <family val="2"/>
      </rPr>
      <t> señal de reserva que se debió dar el día de la reunión.</t>
    </r>
  </si>
  <si>
    <r>
      <t>2. 350 euros</t>
    </r>
    <r>
      <rPr>
        <sz val="10"/>
        <color rgb="FF1D2228"/>
        <rFont val="Arial"/>
        <family val="2"/>
      </rPr>
      <t> a pagar el Sábado 11 de Mayo.</t>
    </r>
  </si>
  <si>
    <r>
      <t>3. 450 euros</t>
    </r>
    <r>
      <rPr>
        <sz val="10"/>
        <color rgb="FF1D2228"/>
        <rFont val="Arial"/>
        <family val="2"/>
      </rPr>
      <t>  a pagar el Sábado 1 de Junio  .</t>
    </r>
  </si>
  <si>
    <r>
      <t>4. 450 euros</t>
    </r>
    <r>
      <rPr>
        <sz val="10"/>
        <color rgb="FF1D2228"/>
        <rFont val="Arial"/>
        <family val="2"/>
      </rPr>
      <t>  a pagar el Sábado 6 de Julio  .</t>
    </r>
  </si>
  <si>
    <t>FECHAS</t>
  </si>
  <si>
    <t xml:space="preserve">PELOTAS </t>
  </si>
  <si>
    <t>TORNEO</t>
  </si>
  <si>
    <t>TOTAL</t>
  </si>
  <si>
    <t>CARLOS FERNANDEZ</t>
  </si>
  <si>
    <t>LUIS VALERA</t>
  </si>
  <si>
    <t>OSVEL BADIA</t>
  </si>
  <si>
    <t>JOSE PRADO</t>
  </si>
  <si>
    <t>GORRAS</t>
  </si>
  <si>
    <t>PELOTAS</t>
  </si>
  <si>
    <t>WILL</t>
  </si>
  <si>
    <t>N/A</t>
  </si>
  <si>
    <t>AVE F</t>
  </si>
  <si>
    <t>JAVI</t>
  </si>
  <si>
    <t>PUCHI</t>
  </si>
  <si>
    <t>CELES</t>
  </si>
  <si>
    <t>DIEGO</t>
  </si>
  <si>
    <t>MERWILL</t>
  </si>
  <si>
    <t>JOSHUA</t>
  </si>
  <si>
    <t>EZE</t>
  </si>
  <si>
    <t>Pelotas</t>
  </si>
  <si>
    <t>Torneo</t>
  </si>
  <si>
    <t>LEONARDO</t>
  </si>
  <si>
    <t>GUILLERMO</t>
  </si>
  <si>
    <t>OSVEL</t>
  </si>
  <si>
    <t>Jose David</t>
  </si>
  <si>
    <t>LUIS V</t>
  </si>
  <si>
    <t>LUIS L</t>
  </si>
  <si>
    <t>Omar</t>
  </si>
  <si>
    <t>OMAR</t>
  </si>
  <si>
    <t>ALEJANDRO</t>
  </si>
  <si>
    <t>JIMENEZ</t>
  </si>
  <si>
    <t>WANDER</t>
  </si>
  <si>
    <t>ALAIN</t>
  </si>
  <si>
    <t>JAVIER</t>
  </si>
  <si>
    <t>EDI</t>
  </si>
  <si>
    <t>JOEL</t>
  </si>
  <si>
    <t>LUIS D</t>
  </si>
  <si>
    <t>HERSON</t>
  </si>
  <si>
    <t>LUIGI</t>
  </si>
  <si>
    <t>AVE</t>
  </si>
  <si>
    <t>PA</t>
  </si>
  <si>
    <t>BA</t>
  </si>
  <si>
    <t>Jugador</t>
  </si>
  <si>
    <t>Carlos Alvarez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</si>
</sst>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1D2228"/>
      <name val="Arial"/>
      <family val="2"/>
    </font>
    <font>
      <b/>
      <sz val="10"/>
      <color rgb="FF1D222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0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5" xfId="0" applyBorder="1"/>
    <xf numFmtId="0" fontId="0" fillId="0" borderId="14" xfId="0" applyBorder="1"/>
    <xf numFmtId="0" fontId="0" fillId="4" borderId="3" xfId="0" applyFill="1" applyBorder="1"/>
    <xf numFmtId="0" fontId="0" fillId="4" borderId="1" xfId="0" applyFill="1" applyBorder="1"/>
    <xf numFmtId="0" fontId="0" fillId="4" borderId="0" xfId="0" applyFill="1"/>
    <xf numFmtId="0" fontId="0" fillId="0" borderId="2" xfId="0" applyBorder="1"/>
    <xf numFmtId="0" fontId="0" fillId="0" borderId="20" xfId="0" applyBorder="1"/>
    <xf numFmtId="0" fontId="2" fillId="0" borderId="1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2" fillId="4" borderId="0" xfId="0" applyFont="1" applyFill="1" applyAlignment="1">
      <alignment horizontal="right"/>
    </xf>
    <xf numFmtId="0" fontId="0" fillId="0" borderId="27" xfId="0" applyBorder="1"/>
    <xf numFmtId="0" fontId="0" fillId="0" borderId="28" xfId="0" applyBorder="1"/>
    <xf numFmtId="0" fontId="0" fillId="0" borderId="30" xfId="0" applyBorder="1"/>
    <xf numFmtId="0" fontId="0" fillId="7" borderId="1" xfId="0" applyFill="1" applyBorder="1"/>
    <xf numFmtId="0" fontId="0" fillId="7" borderId="6" xfId="0" applyFill="1" applyBorder="1"/>
    <xf numFmtId="0" fontId="0" fillId="0" borderId="34" xfId="0" applyBorder="1"/>
    <xf numFmtId="0" fontId="0" fillId="0" borderId="35" xfId="0" applyBorder="1"/>
    <xf numFmtId="0" fontId="0" fillId="5" borderId="0" xfId="0" applyFill="1"/>
    <xf numFmtId="0" fontId="0" fillId="0" borderId="3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37" xfId="0" applyBorder="1"/>
    <xf numFmtId="0" fontId="0" fillId="0" borderId="38" xfId="0" applyBorder="1"/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39" xfId="0" applyBorder="1"/>
    <xf numFmtId="0" fontId="0" fillId="0" borderId="33" xfId="0" applyBorder="1" applyAlignment="1">
      <alignment vertical="center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32" xfId="0" applyBorder="1"/>
    <xf numFmtId="0" fontId="0" fillId="0" borderId="44" xfId="0" applyBorder="1"/>
    <xf numFmtId="0" fontId="0" fillId="0" borderId="45" xfId="0" applyBorder="1"/>
    <xf numFmtId="0" fontId="0" fillId="0" borderId="31" xfId="0" applyBorder="1"/>
    <xf numFmtId="0" fontId="2" fillId="7" borderId="17" xfId="0" applyFont="1" applyFill="1" applyBorder="1" applyAlignment="1">
      <alignment horizontal="center"/>
    </xf>
    <xf numFmtId="0" fontId="2" fillId="7" borderId="18" xfId="0" applyFont="1" applyFill="1" applyBorder="1" applyAlignment="1">
      <alignment horizontal="center"/>
    </xf>
    <xf numFmtId="0" fontId="2" fillId="7" borderId="18" xfId="0" applyFont="1" applyFill="1" applyBorder="1"/>
    <xf numFmtId="0" fontId="2" fillId="7" borderId="19" xfId="0" applyFont="1" applyFill="1" applyBorder="1" applyAlignment="1">
      <alignment horizontal="center"/>
    </xf>
    <xf numFmtId="0" fontId="0" fillId="7" borderId="15" xfId="0" applyFill="1" applyBorder="1" applyAlignment="1">
      <alignment vertical="center"/>
    </xf>
    <xf numFmtId="0" fontId="0" fillId="7" borderId="0" xfId="0" applyFill="1" applyAlignment="1">
      <alignment vertical="center"/>
    </xf>
    <xf numFmtId="0" fontId="0" fillId="7" borderId="40" xfId="0" applyFill="1" applyBorder="1"/>
    <xf numFmtId="0" fontId="0" fillId="7" borderId="14" xfId="0" applyFill="1" applyBorder="1"/>
    <xf numFmtId="0" fontId="0" fillId="7" borderId="29" xfId="0" applyFill="1" applyBorder="1" applyAlignment="1">
      <alignment vertical="center"/>
    </xf>
    <xf numFmtId="0" fontId="0" fillId="7" borderId="25" xfId="0" applyFill="1" applyBorder="1" applyAlignment="1">
      <alignment vertical="center"/>
    </xf>
    <xf numFmtId="0" fontId="0" fillId="7" borderId="39" xfId="0" applyFill="1" applyBorder="1"/>
    <xf numFmtId="0" fontId="0" fillId="7" borderId="41" xfId="0" applyFill="1" applyBorder="1"/>
    <xf numFmtId="0" fontId="0" fillId="7" borderId="33" xfId="0" applyFill="1" applyBorder="1" applyAlignment="1">
      <alignment vertical="center"/>
    </xf>
    <xf numFmtId="0" fontId="0" fillId="7" borderId="34" xfId="0" applyFill="1" applyBorder="1" applyAlignment="1">
      <alignment vertical="center"/>
    </xf>
    <xf numFmtId="0" fontId="0" fillId="7" borderId="30" xfId="0" applyFill="1" applyBorder="1"/>
    <xf numFmtId="0" fontId="0" fillId="7" borderId="35" xfId="0" applyFill="1" applyBorder="1"/>
    <xf numFmtId="0" fontId="0" fillId="7" borderId="10" xfId="0" applyFill="1" applyBorder="1" applyAlignment="1">
      <alignment vertical="center"/>
    </xf>
    <xf numFmtId="0" fontId="0" fillId="7" borderId="12" xfId="0" applyFill="1" applyBorder="1" applyAlignment="1">
      <alignment vertical="center"/>
    </xf>
    <xf numFmtId="0" fontId="0" fillId="7" borderId="42" xfId="0" applyFill="1" applyBorder="1"/>
    <xf numFmtId="0" fontId="0" fillId="7" borderId="13" xfId="0" applyFill="1" applyBorder="1"/>
    <xf numFmtId="0" fontId="0" fillId="7" borderId="20" xfId="0" applyFill="1" applyBorder="1"/>
    <xf numFmtId="0" fontId="0" fillId="7" borderId="43" xfId="0" applyFill="1" applyBorder="1"/>
    <xf numFmtId="0" fontId="0" fillId="7" borderId="32" xfId="0" applyFill="1" applyBorder="1"/>
    <xf numFmtId="0" fontId="0" fillId="7" borderId="0" xfId="0" applyFill="1"/>
    <xf numFmtId="0" fontId="0" fillId="7" borderId="44" xfId="0" applyFill="1" applyBorder="1"/>
    <xf numFmtId="0" fontId="0" fillId="7" borderId="25" xfId="0" applyFill="1" applyBorder="1"/>
    <xf numFmtId="0" fontId="0" fillId="7" borderId="45" xfId="0" applyFill="1" applyBorder="1"/>
    <xf numFmtId="0" fontId="0" fillId="7" borderId="34" xfId="0" applyFill="1" applyBorder="1"/>
    <xf numFmtId="0" fontId="0" fillId="7" borderId="31" xfId="0" applyFill="1" applyBorder="1"/>
    <xf numFmtId="0" fontId="2" fillId="8" borderId="38" xfId="0" applyFont="1" applyFill="1" applyBorder="1" applyAlignment="1">
      <alignment horizontal="center"/>
    </xf>
    <xf numFmtId="0" fontId="2" fillId="8" borderId="18" xfId="0" applyFont="1" applyFill="1" applyBorder="1" applyAlignment="1">
      <alignment horizontal="center"/>
    </xf>
    <xf numFmtId="0" fontId="2" fillId="8" borderId="18" xfId="0" applyFont="1" applyFill="1" applyBorder="1"/>
    <xf numFmtId="0" fontId="2" fillId="8" borderId="37" xfId="0" applyFont="1" applyFill="1" applyBorder="1" applyAlignment="1">
      <alignment horizontal="center"/>
    </xf>
    <xf numFmtId="0" fontId="2" fillId="8" borderId="19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0" fillId="9" borderId="1" xfId="0" applyFill="1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7" borderId="40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41" xfId="0" applyFill="1" applyBorder="1" applyAlignment="1">
      <alignment vertical="center"/>
    </xf>
    <xf numFmtId="0" fontId="0" fillId="7" borderId="30" xfId="0" applyFill="1" applyBorder="1" applyAlignment="1">
      <alignment vertical="center"/>
    </xf>
    <xf numFmtId="0" fontId="0" fillId="0" borderId="0" xfId="0" applyAlignment="1">
      <alignment horizontal="center"/>
    </xf>
    <xf numFmtId="0" fontId="1" fillId="3" borderId="0" xfId="0" applyFont="1" applyFill="1"/>
    <xf numFmtId="0" fontId="0" fillId="9" borderId="8" xfId="0" applyFill="1" applyBorder="1"/>
    <xf numFmtId="0" fontId="0" fillId="10" borderId="1" xfId="0" applyFill="1" applyBorder="1"/>
    <xf numFmtId="0" fontId="0" fillId="2" borderId="0" xfId="0" applyFill="1" applyAlignment="1">
      <alignment horizontal="center"/>
    </xf>
    <xf numFmtId="2" fontId="0" fillId="0" borderId="0" xfId="0" applyNumberFormat="1"/>
    <xf numFmtId="14" fontId="0" fillId="0" borderId="2" xfId="0" applyNumberFormat="1" applyBorder="1"/>
    <xf numFmtId="14" fontId="0" fillId="0" borderId="5" xfId="0" applyNumberFormat="1" applyBorder="1"/>
    <xf numFmtId="14" fontId="0" fillId="0" borderId="7" xfId="0" applyNumberFormat="1" applyBorder="1"/>
    <xf numFmtId="43" fontId="0" fillId="0" borderId="3" xfId="1" applyFont="1" applyBorder="1" applyAlignment="1">
      <alignment horizontal="center" vertical="center"/>
    </xf>
    <xf numFmtId="43" fontId="0" fillId="0" borderId="4" xfId="1" applyFon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0" fillId="0" borderId="6" xfId="1" applyFont="1" applyBorder="1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43" fontId="0" fillId="0" borderId="9" xfId="1" applyFont="1" applyBorder="1" applyAlignment="1">
      <alignment horizontal="center" vertical="center"/>
    </xf>
    <xf numFmtId="0" fontId="2" fillId="6" borderId="10" xfId="0" applyFont="1" applyFill="1" applyBorder="1" applyAlignment="1">
      <alignment horizontal="center"/>
    </xf>
    <xf numFmtId="0" fontId="2" fillId="6" borderId="40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0" fillId="4" borderId="46" xfId="0" applyFill="1" applyBorder="1"/>
    <xf numFmtId="0" fontId="0" fillId="4" borderId="20" xfId="0" applyFill="1" applyBorder="1"/>
    <xf numFmtId="0" fontId="0" fillId="4" borderId="47" xfId="0" applyFill="1" applyBorder="1"/>
    <xf numFmtId="0" fontId="2" fillId="0" borderId="48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0" fillId="0" borderId="49" xfId="0" applyBorder="1"/>
    <xf numFmtId="0" fontId="0" fillId="0" borderId="7" xfId="0" applyBorder="1"/>
    <xf numFmtId="0" fontId="0" fillId="0" borderId="50" xfId="0" applyBorder="1"/>
    <xf numFmtId="0" fontId="0" fillId="0" borderId="51" xfId="0" applyBorder="1"/>
    <xf numFmtId="0" fontId="0" fillId="0" borderId="15" xfId="0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11" borderId="20" xfId="0" applyFill="1" applyBorder="1"/>
    <xf numFmtId="0" fontId="2" fillId="0" borderId="0" xfId="0" applyFont="1"/>
    <xf numFmtId="0" fontId="2" fillId="12" borderId="40" xfId="0" applyFont="1" applyFill="1" applyBorder="1" applyAlignment="1">
      <alignment horizontal="center"/>
    </xf>
    <xf numFmtId="0" fontId="2" fillId="12" borderId="44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4" xfId="0" applyFill="1" applyBorder="1"/>
    <xf numFmtId="0" fontId="2" fillId="12" borderId="52" xfId="0" applyFont="1" applyFill="1" applyBorder="1" applyAlignment="1">
      <alignment horizontal="center"/>
    </xf>
    <xf numFmtId="0" fontId="0" fillId="11" borderId="33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34" xfId="0" applyFill="1" applyBorder="1" applyAlignment="1">
      <alignment horizontal="center"/>
    </xf>
    <xf numFmtId="0" fontId="0" fillId="11" borderId="14" xfId="0" applyFill="1" applyBorder="1"/>
    <xf numFmtId="0" fontId="0" fillId="11" borderId="10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11" borderId="12" xfId="0" applyFill="1" applyBorder="1"/>
    <xf numFmtId="0" fontId="0" fillId="11" borderId="13" xfId="0" applyFill="1" applyBorder="1"/>
    <xf numFmtId="0" fontId="0" fillId="11" borderId="0" xfId="0" applyFill="1" applyAlignment="1">
      <alignment horizontal="center"/>
    </xf>
    <xf numFmtId="0" fontId="0" fillId="11" borderId="53" xfId="0" applyFill="1" applyBorder="1"/>
    <xf numFmtId="0" fontId="0" fillId="4" borderId="29" xfId="0" applyFill="1" applyBorder="1"/>
    <xf numFmtId="0" fontId="0" fillId="11" borderId="29" xfId="0" applyFill="1" applyBorder="1"/>
    <xf numFmtId="0" fontId="0" fillId="11" borderId="54" xfId="0" applyFill="1" applyBorder="1"/>
    <xf numFmtId="0" fontId="0" fillId="11" borderId="0" xfId="0" applyFill="1"/>
    <xf numFmtId="0" fontId="2" fillId="6" borderId="10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4" xfId="0" applyNumberFormat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54" xfId="0" applyBorder="1" applyAlignment="1">
      <alignment horizontal="center"/>
    </xf>
    <xf numFmtId="0" fontId="2" fillId="8" borderId="52" xfId="0" applyFont="1" applyFill="1" applyBorder="1" applyAlignment="1">
      <alignment horizontal="center"/>
    </xf>
    <xf numFmtId="0" fontId="2" fillId="8" borderId="40" xfId="0" applyFont="1" applyFill="1" applyBorder="1" applyAlignment="1">
      <alignment horizontal="center"/>
    </xf>
    <xf numFmtId="0" fontId="2" fillId="8" borderId="42" xfId="0" applyFont="1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" fontId="0" fillId="0" borderId="9" xfId="0" applyNumberFormat="1" applyBorder="1" applyAlignment="1">
      <alignment horizontal="center"/>
    </xf>
    <xf numFmtId="1" fontId="0" fillId="0" borderId="55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1" fontId="0" fillId="0" borderId="28" xfId="0" applyNumberFormat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6" borderId="10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2" fillId="8" borderId="10" xfId="0" applyNumberFormat="1" applyFont="1" applyFill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371475</xdr:colOff>
      <xdr:row>1</xdr:row>
      <xdr:rowOff>19050</xdr:rowOff>
    </xdr:from>
    <xdr:to>
      <xdr:col>3</xdr:col>
      <xdr:colOff>590550</xdr:colOff>
      <xdr:row>1</xdr:row>
      <xdr:rowOff>141474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0CD755-F664-5374-4337-3B6F09790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0" y="219075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342900</xdr:colOff>
      <xdr:row>10</xdr:row>
      <xdr:rowOff>28575</xdr:rowOff>
    </xdr:from>
    <xdr:to>
      <xdr:col>3</xdr:col>
      <xdr:colOff>561975</xdr:colOff>
      <xdr:row>10</xdr:row>
      <xdr:rowOff>150999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98A463-F915-4197-A0E7-E55CBBD10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2705100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342900</xdr:colOff>
      <xdr:row>9</xdr:row>
      <xdr:rowOff>38100</xdr:rowOff>
    </xdr:from>
    <xdr:to>
      <xdr:col>3</xdr:col>
      <xdr:colOff>561975</xdr:colOff>
      <xdr:row>9</xdr:row>
      <xdr:rowOff>160524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ECB50C2-48F0-4637-8E2E-50E706FA1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2524125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342900</xdr:colOff>
      <xdr:row>8</xdr:row>
      <xdr:rowOff>38100</xdr:rowOff>
    </xdr:from>
    <xdr:to>
      <xdr:col>3</xdr:col>
      <xdr:colOff>561975</xdr:colOff>
      <xdr:row>8</xdr:row>
      <xdr:rowOff>160524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4FE89C-9C56-4469-A52B-2E20585F8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2333625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352425</xdr:colOff>
      <xdr:row>6</xdr:row>
      <xdr:rowOff>28575</xdr:rowOff>
    </xdr:from>
    <xdr:to>
      <xdr:col>3</xdr:col>
      <xdr:colOff>571500</xdr:colOff>
      <xdr:row>6</xdr:row>
      <xdr:rowOff>150999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A82263D-6785-4F01-B381-DE664B4F2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1850" y="2133600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352425</xdr:colOff>
      <xdr:row>5</xdr:row>
      <xdr:rowOff>19050</xdr:rowOff>
    </xdr:from>
    <xdr:to>
      <xdr:col>3</xdr:col>
      <xdr:colOff>571500</xdr:colOff>
      <xdr:row>5</xdr:row>
      <xdr:rowOff>141474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674126F-FCAA-4B77-A556-C7E928F84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1850" y="1933575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371475</xdr:colOff>
      <xdr:row>3</xdr:row>
      <xdr:rowOff>38100</xdr:rowOff>
    </xdr:from>
    <xdr:to>
      <xdr:col>3</xdr:col>
      <xdr:colOff>590550</xdr:colOff>
      <xdr:row>3</xdr:row>
      <xdr:rowOff>160524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20C9177-B35B-424F-ABDF-290C4BBD5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0" y="1190625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371475</xdr:colOff>
      <xdr:row>2</xdr:row>
      <xdr:rowOff>19050</xdr:rowOff>
    </xdr:from>
    <xdr:to>
      <xdr:col>3</xdr:col>
      <xdr:colOff>590550</xdr:colOff>
      <xdr:row>2</xdr:row>
      <xdr:rowOff>141474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EF03441-A7A0-4314-BCF0-414C72096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0" y="981075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342900</xdr:colOff>
      <xdr:row>13</xdr:row>
      <xdr:rowOff>38100</xdr:rowOff>
    </xdr:from>
    <xdr:to>
      <xdr:col>3</xdr:col>
      <xdr:colOff>561975</xdr:colOff>
      <xdr:row>13</xdr:row>
      <xdr:rowOff>160524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244C1B0-2DEA-49C4-84F2-78C3E573D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2552700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342900</xdr:colOff>
      <xdr:row>11</xdr:row>
      <xdr:rowOff>38100</xdr:rowOff>
    </xdr:from>
    <xdr:to>
      <xdr:col>3</xdr:col>
      <xdr:colOff>561975</xdr:colOff>
      <xdr:row>11</xdr:row>
      <xdr:rowOff>160524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DACF5AA-9B21-4BC3-AFE9-147C0742E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3286125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352425</xdr:colOff>
      <xdr:row>4</xdr:row>
      <xdr:rowOff>19050</xdr:rowOff>
    </xdr:from>
    <xdr:ext cx="219075" cy="122424"/>
    <xdr:pic>
      <xdr:nvPicPr>
        <xdr:cNvPr id="19" name="Imagen 18">
          <a:extLst>
            <a:ext uri="{FF2B5EF4-FFF2-40B4-BE49-F238E27FC236}">
              <a16:creationId xmlns:a16="http://schemas.microsoft.com/office/drawing/2014/main" id="{52AD1F3B-49DA-4663-A122-334460FC1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1850" y="1933575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342900</xdr:colOff>
      <xdr:row>7</xdr:row>
      <xdr:rowOff>38100</xdr:rowOff>
    </xdr:from>
    <xdr:ext cx="219075" cy="122424"/>
    <xdr:pic>
      <xdr:nvPicPr>
        <xdr:cNvPr id="11" name="Imagen 10">
          <a:extLst>
            <a:ext uri="{FF2B5EF4-FFF2-40B4-BE49-F238E27FC236}">
              <a16:creationId xmlns:a16="http://schemas.microsoft.com/office/drawing/2014/main" id="{F1773F6F-2184-4AC0-ACAB-365FC74B0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1762125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342900</xdr:colOff>
      <xdr:row>11</xdr:row>
      <xdr:rowOff>28575</xdr:rowOff>
    </xdr:from>
    <xdr:ext cx="219075" cy="122424"/>
    <xdr:pic>
      <xdr:nvPicPr>
        <xdr:cNvPr id="25" name="Imagen 24">
          <a:extLst>
            <a:ext uri="{FF2B5EF4-FFF2-40B4-BE49-F238E27FC236}">
              <a16:creationId xmlns:a16="http://schemas.microsoft.com/office/drawing/2014/main" id="{8FF55943-2AEB-4E5D-9847-5F519885B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2133600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342900</xdr:colOff>
      <xdr:row>10</xdr:row>
      <xdr:rowOff>38100</xdr:rowOff>
    </xdr:from>
    <xdr:ext cx="219075" cy="122424"/>
    <xdr:pic>
      <xdr:nvPicPr>
        <xdr:cNvPr id="26" name="Imagen 25">
          <a:extLst>
            <a:ext uri="{FF2B5EF4-FFF2-40B4-BE49-F238E27FC236}">
              <a16:creationId xmlns:a16="http://schemas.microsoft.com/office/drawing/2014/main" id="{CB555E68-D9DF-4F01-9DD8-0DE789ED8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1952625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342900</xdr:colOff>
      <xdr:row>9</xdr:row>
      <xdr:rowOff>38100</xdr:rowOff>
    </xdr:from>
    <xdr:ext cx="219075" cy="122424"/>
    <xdr:pic>
      <xdr:nvPicPr>
        <xdr:cNvPr id="27" name="Imagen 26">
          <a:extLst>
            <a:ext uri="{FF2B5EF4-FFF2-40B4-BE49-F238E27FC236}">
              <a16:creationId xmlns:a16="http://schemas.microsoft.com/office/drawing/2014/main" id="{E5D4A1C8-CC00-4E6E-8282-7305FACF1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1762125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352425</xdr:colOff>
      <xdr:row>7</xdr:row>
      <xdr:rowOff>28575</xdr:rowOff>
    </xdr:from>
    <xdr:ext cx="219075" cy="122424"/>
    <xdr:pic>
      <xdr:nvPicPr>
        <xdr:cNvPr id="28" name="Imagen 27">
          <a:extLst>
            <a:ext uri="{FF2B5EF4-FFF2-40B4-BE49-F238E27FC236}">
              <a16:creationId xmlns:a16="http://schemas.microsoft.com/office/drawing/2014/main" id="{E2D6A1A3-01B3-41FC-A655-D89FBCEC4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1850" y="1371600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352425</xdr:colOff>
      <xdr:row>6</xdr:row>
      <xdr:rowOff>19050</xdr:rowOff>
    </xdr:from>
    <xdr:ext cx="219075" cy="122424"/>
    <xdr:pic>
      <xdr:nvPicPr>
        <xdr:cNvPr id="29" name="Imagen 28">
          <a:extLst>
            <a:ext uri="{FF2B5EF4-FFF2-40B4-BE49-F238E27FC236}">
              <a16:creationId xmlns:a16="http://schemas.microsoft.com/office/drawing/2014/main" id="{F7BA68B6-4C93-4829-AA79-32526A424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1850" y="1171575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342900</xdr:colOff>
      <xdr:row>8</xdr:row>
      <xdr:rowOff>38100</xdr:rowOff>
    </xdr:from>
    <xdr:ext cx="219075" cy="122424"/>
    <xdr:pic>
      <xdr:nvPicPr>
        <xdr:cNvPr id="34" name="Imagen 33">
          <a:extLst>
            <a:ext uri="{FF2B5EF4-FFF2-40B4-BE49-F238E27FC236}">
              <a16:creationId xmlns:a16="http://schemas.microsoft.com/office/drawing/2014/main" id="{90454AE4-8B39-4088-8D02-4D2A46211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1571625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342901</xdr:colOff>
      <xdr:row>12</xdr:row>
      <xdr:rowOff>43422</xdr:rowOff>
    </xdr:from>
    <xdr:ext cx="209550" cy="117101"/>
    <xdr:pic>
      <xdr:nvPicPr>
        <xdr:cNvPr id="44" name="Imagen 43">
          <a:extLst>
            <a:ext uri="{FF2B5EF4-FFF2-40B4-BE49-F238E27FC236}">
              <a16:creationId xmlns:a16="http://schemas.microsoft.com/office/drawing/2014/main" id="{62A6C938-4623-43E3-B7FB-8441B8E45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6" y="2367522"/>
          <a:ext cx="209550" cy="117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333375</xdr:colOff>
      <xdr:row>14</xdr:row>
      <xdr:rowOff>28575</xdr:rowOff>
    </xdr:from>
    <xdr:ext cx="219075" cy="122424"/>
    <xdr:pic>
      <xdr:nvPicPr>
        <xdr:cNvPr id="51" name="Imagen 50">
          <a:extLst>
            <a:ext uri="{FF2B5EF4-FFF2-40B4-BE49-F238E27FC236}">
              <a16:creationId xmlns:a16="http://schemas.microsoft.com/office/drawing/2014/main" id="{53DC3A8E-9996-4FDE-8328-98D927A07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3276600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333375</xdr:colOff>
      <xdr:row>15</xdr:row>
      <xdr:rowOff>28575</xdr:rowOff>
    </xdr:from>
    <xdr:ext cx="219075" cy="122424"/>
    <xdr:pic>
      <xdr:nvPicPr>
        <xdr:cNvPr id="55" name="Imagen 54">
          <a:extLst>
            <a:ext uri="{FF2B5EF4-FFF2-40B4-BE49-F238E27FC236}">
              <a16:creationId xmlns:a16="http://schemas.microsoft.com/office/drawing/2014/main" id="{F737EFF8-E128-4C01-9500-3595E81D9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3467100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333375</xdr:colOff>
      <xdr:row>15</xdr:row>
      <xdr:rowOff>28575</xdr:rowOff>
    </xdr:from>
    <xdr:ext cx="219075" cy="122424"/>
    <xdr:pic>
      <xdr:nvPicPr>
        <xdr:cNvPr id="56" name="Imagen 55">
          <a:extLst>
            <a:ext uri="{FF2B5EF4-FFF2-40B4-BE49-F238E27FC236}">
              <a16:creationId xmlns:a16="http://schemas.microsoft.com/office/drawing/2014/main" id="{DA075048-58F5-41FA-B1C4-504E17DC7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3467100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333375</xdr:colOff>
      <xdr:row>16</xdr:row>
      <xdr:rowOff>28575</xdr:rowOff>
    </xdr:from>
    <xdr:ext cx="219075" cy="122424"/>
    <xdr:pic>
      <xdr:nvPicPr>
        <xdr:cNvPr id="57" name="Imagen 56">
          <a:extLst>
            <a:ext uri="{FF2B5EF4-FFF2-40B4-BE49-F238E27FC236}">
              <a16:creationId xmlns:a16="http://schemas.microsoft.com/office/drawing/2014/main" id="{4FA3BA07-50B0-42F8-97C2-B83CD3CD5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3657600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333375</xdr:colOff>
      <xdr:row>16</xdr:row>
      <xdr:rowOff>28575</xdr:rowOff>
    </xdr:from>
    <xdr:ext cx="219075" cy="122424"/>
    <xdr:pic>
      <xdr:nvPicPr>
        <xdr:cNvPr id="58" name="Imagen 57">
          <a:extLst>
            <a:ext uri="{FF2B5EF4-FFF2-40B4-BE49-F238E27FC236}">
              <a16:creationId xmlns:a16="http://schemas.microsoft.com/office/drawing/2014/main" id="{D504E523-7708-4B16-945C-F6A2B0F59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3657600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333375</xdr:colOff>
      <xdr:row>16</xdr:row>
      <xdr:rowOff>28575</xdr:rowOff>
    </xdr:from>
    <xdr:ext cx="219075" cy="122424"/>
    <xdr:pic>
      <xdr:nvPicPr>
        <xdr:cNvPr id="59" name="Imagen 58">
          <a:extLst>
            <a:ext uri="{FF2B5EF4-FFF2-40B4-BE49-F238E27FC236}">
              <a16:creationId xmlns:a16="http://schemas.microsoft.com/office/drawing/2014/main" id="{ECA29ED2-5AF9-43BA-98E4-9D1FB9E9B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3657600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342900</xdr:colOff>
      <xdr:row>16</xdr:row>
      <xdr:rowOff>38100</xdr:rowOff>
    </xdr:from>
    <xdr:ext cx="219075" cy="122424"/>
    <xdr:pic>
      <xdr:nvPicPr>
        <xdr:cNvPr id="60" name="Imagen 59">
          <a:extLst>
            <a:ext uri="{FF2B5EF4-FFF2-40B4-BE49-F238E27FC236}">
              <a16:creationId xmlns:a16="http://schemas.microsoft.com/office/drawing/2014/main" id="{56442E85-A489-4B92-926C-45F29B4A1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3667125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333375</xdr:colOff>
      <xdr:row>17</xdr:row>
      <xdr:rowOff>28575</xdr:rowOff>
    </xdr:from>
    <xdr:ext cx="219075" cy="122424"/>
    <xdr:pic>
      <xdr:nvPicPr>
        <xdr:cNvPr id="61" name="Imagen 60">
          <a:extLst>
            <a:ext uri="{FF2B5EF4-FFF2-40B4-BE49-F238E27FC236}">
              <a16:creationId xmlns:a16="http://schemas.microsoft.com/office/drawing/2014/main" id="{E95C8EEF-E6B5-42E3-96CF-F9B5E71AD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3848100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333375</xdr:colOff>
      <xdr:row>18</xdr:row>
      <xdr:rowOff>28575</xdr:rowOff>
    </xdr:from>
    <xdr:ext cx="219075" cy="122424"/>
    <xdr:pic>
      <xdr:nvPicPr>
        <xdr:cNvPr id="62" name="Imagen 61">
          <a:extLst>
            <a:ext uri="{FF2B5EF4-FFF2-40B4-BE49-F238E27FC236}">
              <a16:creationId xmlns:a16="http://schemas.microsoft.com/office/drawing/2014/main" id="{2956EF4F-FE5B-46CA-ADA5-7226D2E80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3848100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333375</xdr:colOff>
      <xdr:row>18</xdr:row>
      <xdr:rowOff>28575</xdr:rowOff>
    </xdr:from>
    <xdr:ext cx="219075" cy="122424"/>
    <xdr:pic>
      <xdr:nvPicPr>
        <xdr:cNvPr id="63" name="Imagen 62">
          <a:extLst>
            <a:ext uri="{FF2B5EF4-FFF2-40B4-BE49-F238E27FC236}">
              <a16:creationId xmlns:a16="http://schemas.microsoft.com/office/drawing/2014/main" id="{3FD478CD-6543-4614-A4BD-AF31ABB66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3848100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333375</xdr:colOff>
      <xdr:row>18</xdr:row>
      <xdr:rowOff>28575</xdr:rowOff>
    </xdr:from>
    <xdr:ext cx="219075" cy="122424"/>
    <xdr:pic>
      <xdr:nvPicPr>
        <xdr:cNvPr id="64" name="Imagen 63">
          <a:extLst>
            <a:ext uri="{FF2B5EF4-FFF2-40B4-BE49-F238E27FC236}">
              <a16:creationId xmlns:a16="http://schemas.microsoft.com/office/drawing/2014/main" id="{AC7159D4-3DAC-419A-B590-74615D92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3848100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342900</xdr:colOff>
      <xdr:row>18</xdr:row>
      <xdr:rowOff>38100</xdr:rowOff>
    </xdr:from>
    <xdr:ext cx="219075" cy="122424"/>
    <xdr:pic>
      <xdr:nvPicPr>
        <xdr:cNvPr id="65" name="Imagen 64">
          <a:extLst>
            <a:ext uri="{FF2B5EF4-FFF2-40B4-BE49-F238E27FC236}">
              <a16:creationId xmlns:a16="http://schemas.microsoft.com/office/drawing/2014/main" id="{5E9861A9-23A8-4337-BB6A-8AF095959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3857625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333375</xdr:colOff>
      <xdr:row>19</xdr:row>
      <xdr:rowOff>28575</xdr:rowOff>
    </xdr:from>
    <xdr:ext cx="219075" cy="122424"/>
    <xdr:pic>
      <xdr:nvPicPr>
        <xdr:cNvPr id="66" name="Imagen 65">
          <a:extLst>
            <a:ext uri="{FF2B5EF4-FFF2-40B4-BE49-F238E27FC236}">
              <a16:creationId xmlns:a16="http://schemas.microsoft.com/office/drawing/2014/main" id="{9F1F27FE-C1BE-4AA6-992F-B565D3FFE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4038600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333375</xdr:colOff>
      <xdr:row>20</xdr:row>
      <xdr:rowOff>57150</xdr:rowOff>
    </xdr:from>
    <xdr:ext cx="219075" cy="122424"/>
    <xdr:pic>
      <xdr:nvPicPr>
        <xdr:cNvPr id="12" name="Imagen 11">
          <a:extLst>
            <a:ext uri="{FF2B5EF4-FFF2-40B4-BE49-F238E27FC236}">
              <a16:creationId xmlns:a16="http://schemas.microsoft.com/office/drawing/2014/main" id="{92527E1D-1459-44CF-BC48-A61686526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4629150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352425</xdr:colOff>
      <xdr:row>21</xdr:row>
      <xdr:rowOff>47625</xdr:rowOff>
    </xdr:from>
    <xdr:ext cx="219075" cy="122424"/>
    <xdr:pic>
      <xdr:nvPicPr>
        <xdr:cNvPr id="15" name="Imagen 14">
          <a:extLst>
            <a:ext uri="{FF2B5EF4-FFF2-40B4-BE49-F238E27FC236}">
              <a16:creationId xmlns:a16="http://schemas.microsoft.com/office/drawing/2014/main" id="{BE62ADB5-AE15-4B3F-8EEE-DA259C1E3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1850" y="4810125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342901</xdr:colOff>
      <xdr:row>12</xdr:row>
      <xdr:rowOff>43422</xdr:rowOff>
    </xdr:from>
    <xdr:ext cx="219075" cy="122424"/>
    <xdr:pic>
      <xdr:nvPicPr>
        <xdr:cNvPr id="20" name="Imagen 19">
          <a:extLst>
            <a:ext uri="{FF2B5EF4-FFF2-40B4-BE49-F238E27FC236}">
              <a16:creationId xmlns:a16="http://schemas.microsoft.com/office/drawing/2014/main" id="{8C4DDC07-C221-40A9-BF10-B68B67D9F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6" y="2367522"/>
          <a:ext cx="219075" cy="12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1463040</xdr:colOff>
      <xdr:row>23</xdr:row>
      <xdr:rowOff>47625</xdr:rowOff>
    </xdr:from>
    <xdr:to>
      <xdr:col>62</xdr:col>
      <xdr:colOff>67724</xdr:colOff>
      <xdr:row>28</xdr:row>
      <xdr:rowOff>114442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82CA147-6096-4E0D-8CC3-2662CE402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0" y="5762625"/>
          <a:ext cx="8213504" cy="981217"/>
        </a:xfrm>
        <a:prstGeom prst="rect">
          <a:avLst/>
        </a:prstGeom>
      </xdr:spPr>
    </xdr:pic>
    <xdr:clientData/>
  </xdr:twoCellAnchor>
  <xdr:twoCellAnchor>
    <xdr:from>
      <xdr:col>4</xdr:col>
      <xdr:colOff>38100</xdr:colOff>
      <xdr:row>2</xdr:row>
      <xdr:rowOff>57150</xdr:rowOff>
    </xdr:from>
    <xdr:to>
      <xdr:col>4</xdr:col>
      <xdr:colOff>104775</xdr:colOff>
      <xdr:row>2</xdr:row>
      <xdr:rowOff>152400</xdr:rowOff>
    </xdr:to>
    <xdr:sp macro="" textlink="">
      <xdr:nvSpPr>
        <xdr:cNvPr id="3" name="Diagrama de flujo: conector 2">
          <a:extLst>
            <a:ext uri="{FF2B5EF4-FFF2-40B4-BE49-F238E27FC236}">
              <a16:creationId xmlns:a16="http://schemas.microsoft.com/office/drawing/2014/main" id="{CF5FA401-AAE4-42BA-B1B6-277728F11A8C}"/>
            </a:ext>
          </a:extLst>
        </xdr:cNvPr>
        <xdr:cNvSpPr/>
      </xdr:nvSpPr>
      <xdr:spPr>
        <a:xfrm>
          <a:off x="20955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38100</xdr:colOff>
      <xdr:row>3</xdr:row>
      <xdr:rowOff>57150</xdr:rowOff>
    </xdr:from>
    <xdr:to>
      <xdr:col>4</xdr:col>
      <xdr:colOff>104775</xdr:colOff>
      <xdr:row>3</xdr:row>
      <xdr:rowOff>152400</xdr:rowOff>
    </xdr:to>
    <xdr:sp macro="" textlink="">
      <xdr:nvSpPr>
        <xdr:cNvPr id="4" name="Diagrama de flujo: conector 3">
          <a:extLst>
            <a:ext uri="{FF2B5EF4-FFF2-40B4-BE49-F238E27FC236}">
              <a16:creationId xmlns:a16="http://schemas.microsoft.com/office/drawing/2014/main" id="{F0083F6D-4A23-4706-AF1B-942FA236F353}"/>
            </a:ext>
          </a:extLst>
        </xdr:cNvPr>
        <xdr:cNvSpPr/>
      </xdr:nvSpPr>
      <xdr:spPr>
        <a:xfrm>
          <a:off x="20955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38100</xdr:colOff>
      <xdr:row>4</xdr:row>
      <xdr:rowOff>57150</xdr:rowOff>
    </xdr:from>
    <xdr:to>
      <xdr:col>4</xdr:col>
      <xdr:colOff>104775</xdr:colOff>
      <xdr:row>4</xdr:row>
      <xdr:rowOff>152400</xdr:rowOff>
    </xdr:to>
    <xdr:sp macro="" textlink="">
      <xdr:nvSpPr>
        <xdr:cNvPr id="5" name="Diagrama de flujo: conector 4">
          <a:extLst>
            <a:ext uri="{FF2B5EF4-FFF2-40B4-BE49-F238E27FC236}">
              <a16:creationId xmlns:a16="http://schemas.microsoft.com/office/drawing/2014/main" id="{7310C73F-8055-4A46-B32A-8572C790CBB4}"/>
            </a:ext>
          </a:extLst>
        </xdr:cNvPr>
        <xdr:cNvSpPr/>
      </xdr:nvSpPr>
      <xdr:spPr>
        <a:xfrm>
          <a:off x="20955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38100</xdr:colOff>
      <xdr:row>5</xdr:row>
      <xdr:rowOff>57150</xdr:rowOff>
    </xdr:from>
    <xdr:to>
      <xdr:col>4</xdr:col>
      <xdr:colOff>104775</xdr:colOff>
      <xdr:row>5</xdr:row>
      <xdr:rowOff>152400</xdr:rowOff>
    </xdr:to>
    <xdr:sp macro="" textlink="">
      <xdr:nvSpPr>
        <xdr:cNvPr id="6" name="Diagrama de flujo: conector 5">
          <a:extLst>
            <a:ext uri="{FF2B5EF4-FFF2-40B4-BE49-F238E27FC236}">
              <a16:creationId xmlns:a16="http://schemas.microsoft.com/office/drawing/2014/main" id="{11606312-81CB-4DC9-9593-C3825D4F8AF9}"/>
            </a:ext>
          </a:extLst>
        </xdr:cNvPr>
        <xdr:cNvSpPr/>
      </xdr:nvSpPr>
      <xdr:spPr>
        <a:xfrm>
          <a:off x="20955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38100</xdr:colOff>
      <xdr:row>6</xdr:row>
      <xdr:rowOff>47625</xdr:rowOff>
    </xdr:from>
    <xdr:to>
      <xdr:col>4</xdr:col>
      <xdr:colOff>104775</xdr:colOff>
      <xdr:row>6</xdr:row>
      <xdr:rowOff>142875</xdr:rowOff>
    </xdr:to>
    <xdr:sp macro="" textlink="">
      <xdr:nvSpPr>
        <xdr:cNvPr id="7" name="Diagrama de flujo: conector 6">
          <a:extLst>
            <a:ext uri="{FF2B5EF4-FFF2-40B4-BE49-F238E27FC236}">
              <a16:creationId xmlns:a16="http://schemas.microsoft.com/office/drawing/2014/main" id="{8983A3BB-24AC-4093-97E6-05CA1D8D41F9}"/>
            </a:ext>
          </a:extLst>
        </xdr:cNvPr>
        <xdr:cNvSpPr/>
      </xdr:nvSpPr>
      <xdr:spPr>
        <a:xfrm>
          <a:off x="209550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38100</xdr:colOff>
      <xdr:row>7</xdr:row>
      <xdr:rowOff>47625</xdr:rowOff>
    </xdr:from>
    <xdr:to>
      <xdr:col>4</xdr:col>
      <xdr:colOff>104775</xdr:colOff>
      <xdr:row>7</xdr:row>
      <xdr:rowOff>142875</xdr:rowOff>
    </xdr:to>
    <xdr:sp macro="" textlink="">
      <xdr:nvSpPr>
        <xdr:cNvPr id="8" name="Diagrama de flujo: conector 7">
          <a:extLst>
            <a:ext uri="{FF2B5EF4-FFF2-40B4-BE49-F238E27FC236}">
              <a16:creationId xmlns:a16="http://schemas.microsoft.com/office/drawing/2014/main" id="{0B4B851E-5F9C-4591-9F2B-D84CF580FE13}"/>
            </a:ext>
          </a:extLst>
        </xdr:cNvPr>
        <xdr:cNvSpPr/>
      </xdr:nvSpPr>
      <xdr:spPr>
        <a:xfrm>
          <a:off x="20955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38100</xdr:colOff>
      <xdr:row>8</xdr:row>
      <xdr:rowOff>57150</xdr:rowOff>
    </xdr:from>
    <xdr:to>
      <xdr:col>4</xdr:col>
      <xdr:colOff>104775</xdr:colOff>
      <xdr:row>8</xdr:row>
      <xdr:rowOff>152400</xdr:rowOff>
    </xdr:to>
    <xdr:sp macro="" textlink="">
      <xdr:nvSpPr>
        <xdr:cNvPr id="9" name="Diagrama de flujo: conector 8">
          <a:extLst>
            <a:ext uri="{FF2B5EF4-FFF2-40B4-BE49-F238E27FC236}">
              <a16:creationId xmlns:a16="http://schemas.microsoft.com/office/drawing/2014/main" id="{5169C857-7D7C-4E94-943B-BF694F98E0C0}"/>
            </a:ext>
          </a:extLst>
        </xdr:cNvPr>
        <xdr:cNvSpPr/>
      </xdr:nvSpPr>
      <xdr:spPr>
        <a:xfrm>
          <a:off x="20955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38100</xdr:colOff>
      <xdr:row>9</xdr:row>
      <xdr:rowOff>57150</xdr:rowOff>
    </xdr:from>
    <xdr:to>
      <xdr:col>4</xdr:col>
      <xdr:colOff>104775</xdr:colOff>
      <xdr:row>9</xdr:row>
      <xdr:rowOff>152400</xdr:rowOff>
    </xdr:to>
    <xdr:sp macro="" textlink="">
      <xdr:nvSpPr>
        <xdr:cNvPr id="10" name="Diagrama de flujo: conector 9">
          <a:extLst>
            <a:ext uri="{FF2B5EF4-FFF2-40B4-BE49-F238E27FC236}">
              <a16:creationId xmlns:a16="http://schemas.microsoft.com/office/drawing/2014/main" id="{8BB2EC94-CDD5-46F1-B31A-D63A19F26448}"/>
            </a:ext>
          </a:extLst>
        </xdr:cNvPr>
        <xdr:cNvSpPr/>
      </xdr:nvSpPr>
      <xdr:spPr>
        <a:xfrm>
          <a:off x="20955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38100</xdr:colOff>
      <xdr:row>10</xdr:row>
      <xdr:rowOff>47625</xdr:rowOff>
    </xdr:from>
    <xdr:to>
      <xdr:col>4</xdr:col>
      <xdr:colOff>104775</xdr:colOff>
      <xdr:row>10</xdr:row>
      <xdr:rowOff>142875</xdr:rowOff>
    </xdr:to>
    <xdr:sp macro="" textlink="">
      <xdr:nvSpPr>
        <xdr:cNvPr id="11" name="Diagrama de flujo: conector 10">
          <a:extLst>
            <a:ext uri="{FF2B5EF4-FFF2-40B4-BE49-F238E27FC236}">
              <a16:creationId xmlns:a16="http://schemas.microsoft.com/office/drawing/2014/main" id="{9AD2654A-A4DB-4F90-A968-EE961682CFB5}"/>
            </a:ext>
          </a:extLst>
        </xdr:cNvPr>
        <xdr:cNvSpPr/>
      </xdr:nvSpPr>
      <xdr:spPr>
        <a:xfrm>
          <a:off x="209550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38100</xdr:colOff>
      <xdr:row>12</xdr:row>
      <xdr:rowOff>47625</xdr:rowOff>
    </xdr:from>
    <xdr:to>
      <xdr:col>4</xdr:col>
      <xdr:colOff>104775</xdr:colOff>
      <xdr:row>12</xdr:row>
      <xdr:rowOff>142875</xdr:rowOff>
    </xdr:to>
    <xdr:sp macro="" textlink="">
      <xdr:nvSpPr>
        <xdr:cNvPr id="12" name="Diagrama de flujo: conector 11">
          <a:extLst>
            <a:ext uri="{FF2B5EF4-FFF2-40B4-BE49-F238E27FC236}">
              <a16:creationId xmlns:a16="http://schemas.microsoft.com/office/drawing/2014/main" id="{069EE284-F23B-459E-941D-02A619A57C2E}"/>
            </a:ext>
          </a:extLst>
        </xdr:cNvPr>
        <xdr:cNvSpPr/>
      </xdr:nvSpPr>
      <xdr:spPr>
        <a:xfrm>
          <a:off x="20955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38100</xdr:colOff>
      <xdr:row>2</xdr:row>
      <xdr:rowOff>57150</xdr:rowOff>
    </xdr:from>
    <xdr:to>
      <xdr:col>5</xdr:col>
      <xdr:colOff>104775</xdr:colOff>
      <xdr:row>2</xdr:row>
      <xdr:rowOff>152400</xdr:rowOff>
    </xdr:to>
    <xdr:sp macro="" textlink="">
      <xdr:nvSpPr>
        <xdr:cNvPr id="113" name="Diagrama de flujo: conector 112">
          <a:extLst>
            <a:ext uri="{FF2B5EF4-FFF2-40B4-BE49-F238E27FC236}">
              <a16:creationId xmlns:a16="http://schemas.microsoft.com/office/drawing/2014/main" id="{5A321CF9-4C8A-476C-96B8-49FE2462349F}"/>
            </a:ext>
          </a:extLst>
        </xdr:cNvPr>
        <xdr:cNvSpPr/>
      </xdr:nvSpPr>
      <xdr:spPr>
        <a:xfrm>
          <a:off x="20955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38100</xdr:colOff>
      <xdr:row>3</xdr:row>
      <xdr:rowOff>57150</xdr:rowOff>
    </xdr:from>
    <xdr:to>
      <xdr:col>5</xdr:col>
      <xdr:colOff>104775</xdr:colOff>
      <xdr:row>3</xdr:row>
      <xdr:rowOff>152400</xdr:rowOff>
    </xdr:to>
    <xdr:sp macro="" textlink="">
      <xdr:nvSpPr>
        <xdr:cNvPr id="114" name="Diagrama de flujo: conector 113">
          <a:extLst>
            <a:ext uri="{FF2B5EF4-FFF2-40B4-BE49-F238E27FC236}">
              <a16:creationId xmlns:a16="http://schemas.microsoft.com/office/drawing/2014/main" id="{10D77296-1FAB-4E67-97EF-AEDB41EED7E4}"/>
            </a:ext>
          </a:extLst>
        </xdr:cNvPr>
        <xdr:cNvSpPr/>
      </xdr:nvSpPr>
      <xdr:spPr>
        <a:xfrm>
          <a:off x="20955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38100</xdr:colOff>
      <xdr:row>4</xdr:row>
      <xdr:rowOff>57150</xdr:rowOff>
    </xdr:from>
    <xdr:to>
      <xdr:col>5</xdr:col>
      <xdr:colOff>104775</xdr:colOff>
      <xdr:row>4</xdr:row>
      <xdr:rowOff>152400</xdr:rowOff>
    </xdr:to>
    <xdr:sp macro="" textlink="">
      <xdr:nvSpPr>
        <xdr:cNvPr id="115" name="Diagrama de flujo: conector 114">
          <a:extLst>
            <a:ext uri="{FF2B5EF4-FFF2-40B4-BE49-F238E27FC236}">
              <a16:creationId xmlns:a16="http://schemas.microsoft.com/office/drawing/2014/main" id="{CEB6343F-FE1D-49BA-83AE-F11841DE899D}"/>
            </a:ext>
          </a:extLst>
        </xdr:cNvPr>
        <xdr:cNvSpPr/>
      </xdr:nvSpPr>
      <xdr:spPr>
        <a:xfrm>
          <a:off x="20955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38100</xdr:colOff>
      <xdr:row>5</xdr:row>
      <xdr:rowOff>57150</xdr:rowOff>
    </xdr:from>
    <xdr:to>
      <xdr:col>5</xdr:col>
      <xdr:colOff>104775</xdr:colOff>
      <xdr:row>5</xdr:row>
      <xdr:rowOff>152400</xdr:rowOff>
    </xdr:to>
    <xdr:sp macro="" textlink="">
      <xdr:nvSpPr>
        <xdr:cNvPr id="116" name="Diagrama de flujo: conector 115">
          <a:extLst>
            <a:ext uri="{FF2B5EF4-FFF2-40B4-BE49-F238E27FC236}">
              <a16:creationId xmlns:a16="http://schemas.microsoft.com/office/drawing/2014/main" id="{A731C6C2-6EA7-4CF9-9993-84831D5BCED7}"/>
            </a:ext>
          </a:extLst>
        </xdr:cNvPr>
        <xdr:cNvSpPr/>
      </xdr:nvSpPr>
      <xdr:spPr>
        <a:xfrm>
          <a:off x="20955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38100</xdr:colOff>
      <xdr:row>6</xdr:row>
      <xdr:rowOff>47625</xdr:rowOff>
    </xdr:from>
    <xdr:to>
      <xdr:col>5</xdr:col>
      <xdr:colOff>104775</xdr:colOff>
      <xdr:row>6</xdr:row>
      <xdr:rowOff>142875</xdr:rowOff>
    </xdr:to>
    <xdr:sp macro="" textlink="">
      <xdr:nvSpPr>
        <xdr:cNvPr id="117" name="Diagrama de flujo: conector 116">
          <a:extLst>
            <a:ext uri="{FF2B5EF4-FFF2-40B4-BE49-F238E27FC236}">
              <a16:creationId xmlns:a16="http://schemas.microsoft.com/office/drawing/2014/main" id="{CAFAF412-22F2-4A1D-9244-E745529A8E61}"/>
            </a:ext>
          </a:extLst>
        </xdr:cNvPr>
        <xdr:cNvSpPr/>
      </xdr:nvSpPr>
      <xdr:spPr>
        <a:xfrm>
          <a:off x="209550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38100</xdr:colOff>
      <xdr:row>7</xdr:row>
      <xdr:rowOff>47625</xdr:rowOff>
    </xdr:from>
    <xdr:to>
      <xdr:col>5</xdr:col>
      <xdr:colOff>104775</xdr:colOff>
      <xdr:row>7</xdr:row>
      <xdr:rowOff>142875</xdr:rowOff>
    </xdr:to>
    <xdr:sp macro="" textlink="">
      <xdr:nvSpPr>
        <xdr:cNvPr id="118" name="Diagrama de flujo: conector 117">
          <a:extLst>
            <a:ext uri="{FF2B5EF4-FFF2-40B4-BE49-F238E27FC236}">
              <a16:creationId xmlns:a16="http://schemas.microsoft.com/office/drawing/2014/main" id="{93740A86-E3B7-411F-87D0-D8BFBB624FFA}"/>
            </a:ext>
          </a:extLst>
        </xdr:cNvPr>
        <xdr:cNvSpPr/>
      </xdr:nvSpPr>
      <xdr:spPr>
        <a:xfrm>
          <a:off x="20955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38100</xdr:colOff>
      <xdr:row>8</xdr:row>
      <xdr:rowOff>57150</xdr:rowOff>
    </xdr:from>
    <xdr:to>
      <xdr:col>5</xdr:col>
      <xdr:colOff>104775</xdr:colOff>
      <xdr:row>8</xdr:row>
      <xdr:rowOff>152400</xdr:rowOff>
    </xdr:to>
    <xdr:sp macro="" textlink="">
      <xdr:nvSpPr>
        <xdr:cNvPr id="119" name="Diagrama de flujo: conector 118">
          <a:extLst>
            <a:ext uri="{FF2B5EF4-FFF2-40B4-BE49-F238E27FC236}">
              <a16:creationId xmlns:a16="http://schemas.microsoft.com/office/drawing/2014/main" id="{65D8F1E1-BF6A-4CA4-B0F3-045A712585E2}"/>
            </a:ext>
          </a:extLst>
        </xdr:cNvPr>
        <xdr:cNvSpPr/>
      </xdr:nvSpPr>
      <xdr:spPr>
        <a:xfrm>
          <a:off x="20955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38100</xdr:colOff>
      <xdr:row>9</xdr:row>
      <xdr:rowOff>57150</xdr:rowOff>
    </xdr:from>
    <xdr:to>
      <xdr:col>5</xdr:col>
      <xdr:colOff>104775</xdr:colOff>
      <xdr:row>9</xdr:row>
      <xdr:rowOff>152400</xdr:rowOff>
    </xdr:to>
    <xdr:sp macro="" textlink="">
      <xdr:nvSpPr>
        <xdr:cNvPr id="120" name="Diagrama de flujo: conector 119">
          <a:extLst>
            <a:ext uri="{FF2B5EF4-FFF2-40B4-BE49-F238E27FC236}">
              <a16:creationId xmlns:a16="http://schemas.microsoft.com/office/drawing/2014/main" id="{8E8B7AE2-B2F7-4EF1-801C-E5D924724C52}"/>
            </a:ext>
          </a:extLst>
        </xdr:cNvPr>
        <xdr:cNvSpPr/>
      </xdr:nvSpPr>
      <xdr:spPr>
        <a:xfrm>
          <a:off x="20955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38100</xdr:colOff>
      <xdr:row>10</xdr:row>
      <xdr:rowOff>47625</xdr:rowOff>
    </xdr:from>
    <xdr:to>
      <xdr:col>5</xdr:col>
      <xdr:colOff>104775</xdr:colOff>
      <xdr:row>10</xdr:row>
      <xdr:rowOff>142875</xdr:rowOff>
    </xdr:to>
    <xdr:sp macro="" textlink="">
      <xdr:nvSpPr>
        <xdr:cNvPr id="121" name="Diagrama de flujo: conector 120">
          <a:extLst>
            <a:ext uri="{FF2B5EF4-FFF2-40B4-BE49-F238E27FC236}">
              <a16:creationId xmlns:a16="http://schemas.microsoft.com/office/drawing/2014/main" id="{3707EE26-E98F-4452-A23A-3FA09E496F6A}"/>
            </a:ext>
          </a:extLst>
        </xdr:cNvPr>
        <xdr:cNvSpPr/>
      </xdr:nvSpPr>
      <xdr:spPr>
        <a:xfrm>
          <a:off x="209550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38100</xdr:colOff>
      <xdr:row>12</xdr:row>
      <xdr:rowOff>47625</xdr:rowOff>
    </xdr:from>
    <xdr:to>
      <xdr:col>5</xdr:col>
      <xdr:colOff>104775</xdr:colOff>
      <xdr:row>12</xdr:row>
      <xdr:rowOff>142875</xdr:rowOff>
    </xdr:to>
    <xdr:sp macro="" textlink="">
      <xdr:nvSpPr>
        <xdr:cNvPr id="122" name="Diagrama de flujo: conector 121">
          <a:extLst>
            <a:ext uri="{FF2B5EF4-FFF2-40B4-BE49-F238E27FC236}">
              <a16:creationId xmlns:a16="http://schemas.microsoft.com/office/drawing/2014/main" id="{81FE0BA7-20B6-43FD-A096-774A06C3FDF2}"/>
            </a:ext>
          </a:extLst>
        </xdr:cNvPr>
        <xdr:cNvSpPr/>
      </xdr:nvSpPr>
      <xdr:spPr>
        <a:xfrm>
          <a:off x="20955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38100</xdr:colOff>
      <xdr:row>2</xdr:row>
      <xdr:rowOff>57150</xdr:rowOff>
    </xdr:from>
    <xdr:to>
      <xdr:col>6</xdr:col>
      <xdr:colOff>104775</xdr:colOff>
      <xdr:row>2</xdr:row>
      <xdr:rowOff>152400</xdr:rowOff>
    </xdr:to>
    <xdr:sp macro="" textlink="">
      <xdr:nvSpPr>
        <xdr:cNvPr id="123" name="Diagrama de flujo: conector 122">
          <a:extLst>
            <a:ext uri="{FF2B5EF4-FFF2-40B4-BE49-F238E27FC236}">
              <a16:creationId xmlns:a16="http://schemas.microsoft.com/office/drawing/2014/main" id="{632F645F-979D-4A60-9C3B-0CFD93B375CB}"/>
            </a:ext>
          </a:extLst>
        </xdr:cNvPr>
        <xdr:cNvSpPr/>
      </xdr:nvSpPr>
      <xdr:spPr>
        <a:xfrm>
          <a:off x="20955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38100</xdr:colOff>
      <xdr:row>3</xdr:row>
      <xdr:rowOff>57150</xdr:rowOff>
    </xdr:from>
    <xdr:to>
      <xdr:col>6</xdr:col>
      <xdr:colOff>104775</xdr:colOff>
      <xdr:row>3</xdr:row>
      <xdr:rowOff>152400</xdr:rowOff>
    </xdr:to>
    <xdr:sp macro="" textlink="">
      <xdr:nvSpPr>
        <xdr:cNvPr id="124" name="Diagrama de flujo: conector 123">
          <a:extLst>
            <a:ext uri="{FF2B5EF4-FFF2-40B4-BE49-F238E27FC236}">
              <a16:creationId xmlns:a16="http://schemas.microsoft.com/office/drawing/2014/main" id="{81150C56-CA94-42DD-9E7A-69106FAE8247}"/>
            </a:ext>
          </a:extLst>
        </xdr:cNvPr>
        <xdr:cNvSpPr/>
      </xdr:nvSpPr>
      <xdr:spPr>
        <a:xfrm>
          <a:off x="20955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38100</xdr:colOff>
      <xdr:row>4</xdr:row>
      <xdr:rowOff>57150</xdr:rowOff>
    </xdr:from>
    <xdr:to>
      <xdr:col>6</xdr:col>
      <xdr:colOff>104775</xdr:colOff>
      <xdr:row>4</xdr:row>
      <xdr:rowOff>152400</xdr:rowOff>
    </xdr:to>
    <xdr:sp macro="" textlink="">
      <xdr:nvSpPr>
        <xdr:cNvPr id="125" name="Diagrama de flujo: conector 124">
          <a:extLst>
            <a:ext uri="{FF2B5EF4-FFF2-40B4-BE49-F238E27FC236}">
              <a16:creationId xmlns:a16="http://schemas.microsoft.com/office/drawing/2014/main" id="{F2A1B11B-370E-4495-9D95-EFEAEDDBD85B}"/>
            </a:ext>
          </a:extLst>
        </xdr:cNvPr>
        <xdr:cNvSpPr/>
      </xdr:nvSpPr>
      <xdr:spPr>
        <a:xfrm>
          <a:off x="20955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38100</xdr:colOff>
      <xdr:row>5</xdr:row>
      <xdr:rowOff>57150</xdr:rowOff>
    </xdr:from>
    <xdr:to>
      <xdr:col>6</xdr:col>
      <xdr:colOff>104775</xdr:colOff>
      <xdr:row>5</xdr:row>
      <xdr:rowOff>152400</xdr:rowOff>
    </xdr:to>
    <xdr:sp macro="" textlink="">
      <xdr:nvSpPr>
        <xdr:cNvPr id="126" name="Diagrama de flujo: conector 125">
          <a:extLst>
            <a:ext uri="{FF2B5EF4-FFF2-40B4-BE49-F238E27FC236}">
              <a16:creationId xmlns:a16="http://schemas.microsoft.com/office/drawing/2014/main" id="{386596DD-9620-424A-A17E-FE6F04DB4B87}"/>
            </a:ext>
          </a:extLst>
        </xdr:cNvPr>
        <xdr:cNvSpPr/>
      </xdr:nvSpPr>
      <xdr:spPr>
        <a:xfrm>
          <a:off x="20955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38100</xdr:colOff>
      <xdr:row>6</xdr:row>
      <xdr:rowOff>47625</xdr:rowOff>
    </xdr:from>
    <xdr:to>
      <xdr:col>6</xdr:col>
      <xdr:colOff>104775</xdr:colOff>
      <xdr:row>6</xdr:row>
      <xdr:rowOff>142875</xdr:rowOff>
    </xdr:to>
    <xdr:sp macro="" textlink="">
      <xdr:nvSpPr>
        <xdr:cNvPr id="127" name="Diagrama de flujo: conector 126">
          <a:extLst>
            <a:ext uri="{FF2B5EF4-FFF2-40B4-BE49-F238E27FC236}">
              <a16:creationId xmlns:a16="http://schemas.microsoft.com/office/drawing/2014/main" id="{858E2DC8-F0ED-4508-AD89-841EFE95E636}"/>
            </a:ext>
          </a:extLst>
        </xdr:cNvPr>
        <xdr:cNvSpPr/>
      </xdr:nvSpPr>
      <xdr:spPr>
        <a:xfrm>
          <a:off x="209550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38100</xdr:colOff>
      <xdr:row>7</xdr:row>
      <xdr:rowOff>47625</xdr:rowOff>
    </xdr:from>
    <xdr:to>
      <xdr:col>6</xdr:col>
      <xdr:colOff>104775</xdr:colOff>
      <xdr:row>7</xdr:row>
      <xdr:rowOff>142875</xdr:rowOff>
    </xdr:to>
    <xdr:sp macro="" textlink="">
      <xdr:nvSpPr>
        <xdr:cNvPr id="128" name="Diagrama de flujo: conector 127">
          <a:extLst>
            <a:ext uri="{FF2B5EF4-FFF2-40B4-BE49-F238E27FC236}">
              <a16:creationId xmlns:a16="http://schemas.microsoft.com/office/drawing/2014/main" id="{37F854EA-6950-4A14-9EF5-6D809CF1DBDD}"/>
            </a:ext>
          </a:extLst>
        </xdr:cNvPr>
        <xdr:cNvSpPr/>
      </xdr:nvSpPr>
      <xdr:spPr>
        <a:xfrm>
          <a:off x="20955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38100</xdr:colOff>
      <xdr:row>8</xdr:row>
      <xdr:rowOff>57150</xdr:rowOff>
    </xdr:from>
    <xdr:to>
      <xdr:col>6</xdr:col>
      <xdr:colOff>104775</xdr:colOff>
      <xdr:row>8</xdr:row>
      <xdr:rowOff>152400</xdr:rowOff>
    </xdr:to>
    <xdr:sp macro="" textlink="">
      <xdr:nvSpPr>
        <xdr:cNvPr id="129" name="Diagrama de flujo: conector 128">
          <a:extLst>
            <a:ext uri="{FF2B5EF4-FFF2-40B4-BE49-F238E27FC236}">
              <a16:creationId xmlns:a16="http://schemas.microsoft.com/office/drawing/2014/main" id="{512DBE5B-009C-4B29-BB78-C25228036783}"/>
            </a:ext>
          </a:extLst>
        </xdr:cNvPr>
        <xdr:cNvSpPr/>
      </xdr:nvSpPr>
      <xdr:spPr>
        <a:xfrm>
          <a:off x="20955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38100</xdr:colOff>
      <xdr:row>9</xdr:row>
      <xdr:rowOff>57150</xdr:rowOff>
    </xdr:from>
    <xdr:to>
      <xdr:col>6</xdr:col>
      <xdr:colOff>104775</xdr:colOff>
      <xdr:row>9</xdr:row>
      <xdr:rowOff>152400</xdr:rowOff>
    </xdr:to>
    <xdr:sp macro="" textlink="">
      <xdr:nvSpPr>
        <xdr:cNvPr id="130" name="Diagrama de flujo: conector 129">
          <a:extLst>
            <a:ext uri="{FF2B5EF4-FFF2-40B4-BE49-F238E27FC236}">
              <a16:creationId xmlns:a16="http://schemas.microsoft.com/office/drawing/2014/main" id="{15A9D9DB-0706-404E-890C-9978DC07C656}"/>
            </a:ext>
          </a:extLst>
        </xdr:cNvPr>
        <xdr:cNvSpPr/>
      </xdr:nvSpPr>
      <xdr:spPr>
        <a:xfrm>
          <a:off x="20955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38100</xdr:colOff>
      <xdr:row>10</xdr:row>
      <xdr:rowOff>47625</xdr:rowOff>
    </xdr:from>
    <xdr:to>
      <xdr:col>6</xdr:col>
      <xdr:colOff>104775</xdr:colOff>
      <xdr:row>10</xdr:row>
      <xdr:rowOff>142875</xdr:rowOff>
    </xdr:to>
    <xdr:sp macro="" textlink="">
      <xdr:nvSpPr>
        <xdr:cNvPr id="131" name="Diagrama de flujo: conector 130">
          <a:extLst>
            <a:ext uri="{FF2B5EF4-FFF2-40B4-BE49-F238E27FC236}">
              <a16:creationId xmlns:a16="http://schemas.microsoft.com/office/drawing/2014/main" id="{324F1209-CAE4-4421-AB5F-D5C99AD5F783}"/>
            </a:ext>
          </a:extLst>
        </xdr:cNvPr>
        <xdr:cNvSpPr/>
      </xdr:nvSpPr>
      <xdr:spPr>
        <a:xfrm>
          <a:off x="209550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38100</xdr:colOff>
      <xdr:row>12</xdr:row>
      <xdr:rowOff>47625</xdr:rowOff>
    </xdr:from>
    <xdr:to>
      <xdr:col>6</xdr:col>
      <xdr:colOff>104775</xdr:colOff>
      <xdr:row>12</xdr:row>
      <xdr:rowOff>142875</xdr:rowOff>
    </xdr:to>
    <xdr:sp macro="" textlink="">
      <xdr:nvSpPr>
        <xdr:cNvPr id="132" name="Diagrama de flujo: conector 131">
          <a:extLst>
            <a:ext uri="{FF2B5EF4-FFF2-40B4-BE49-F238E27FC236}">
              <a16:creationId xmlns:a16="http://schemas.microsoft.com/office/drawing/2014/main" id="{019533E4-CAA4-4E54-97D5-3F7276760B1B}"/>
            </a:ext>
          </a:extLst>
        </xdr:cNvPr>
        <xdr:cNvSpPr/>
      </xdr:nvSpPr>
      <xdr:spPr>
        <a:xfrm>
          <a:off x="20955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38100</xdr:colOff>
      <xdr:row>2</xdr:row>
      <xdr:rowOff>57150</xdr:rowOff>
    </xdr:from>
    <xdr:to>
      <xdr:col>7</xdr:col>
      <xdr:colOff>104775</xdr:colOff>
      <xdr:row>2</xdr:row>
      <xdr:rowOff>152400</xdr:rowOff>
    </xdr:to>
    <xdr:sp macro="" textlink="">
      <xdr:nvSpPr>
        <xdr:cNvPr id="133" name="Diagrama de flujo: conector 132">
          <a:extLst>
            <a:ext uri="{FF2B5EF4-FFF2-40B4-BE49-F238E27FC236}">
              <a16:creationId xmlns:a16="http://schemas.microsoft.com/office/drawing/2014/main" id="{7282BE6F-6E37-47F3-8DC7-EFD7C0EC24A6}"/>
            </a:ext>
          </a:extLst>
        </xdr:cNvPr>
        <xdr:cNvSpPr/>
      </xdr:nvSpPr>
      <xdr:spPr>
        <a:xfrm>
          <a:off x="20955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38100</xdr:colOff>
      <xdr:row>3</xdr:row>
      <xdr:rowOff>57150</xdr:rowOff>
    </xdr:from>
    <xdr:to>
      <xdr:col>7</xdr:col>
      <xdr:colOff>104775</xdr:colOff>
      <xdr:row>3</xdr:row>
      <xdr:rowOff>152400</xdr:rowOff>
    </xdr:to>
    <xdr:sp macro="" textlink="">
      <xdr:nvSpPr>
        <xdr:cNvPr id="134" name="Diagrama de flujo: conector 133">
          <a:extLst>
            <a:ext uri="{FF2B5EF4-FFF2-40B4-BE49-F238E27FC236}">
              <a16:creationId xmlns:a16="http://schemas.microsoft.com/office/drawing/2014/main" id="{E719A418-5185-41A7-8540-C77DB1CE8773}"/>
            </a:ext>
          </a:extLst>
        </xdr:cNvPr>
        <xdr:cNvSpPr/>
      </xdr:nvSpPr>
      <xdr:spPr>
        <a:xfrm>
          <a:off x="20955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38100</xdr:colOff>
      <xdr:row>4</xdr:row>
      <xdr:rowOff>57150</xdr:rowOff>
    </xdr:from>
    <xdr:to>
      <xdr:col>7</xdr:col>
      <xdr:colOff>104775</xdr:colOff>
      <xdr:row>4</xdr:row>
      <xdr:rowOff>152400</xdr:rowOff>
    </xdr:to>
    <xdr:sp macro="" textlink="">
      <xdr:nvSpPr>
        <xdr:cNvPr id="135" name="Diagrama de flujo: conector 134">
          <a:extLst>
            <a:ext uri="{FF2B5EF4-FFF2-40B4-BE49-F238E27FC236}">
              <a16:creationId xmlns:a16="http://schemas.microsoft.com/office/drawing/2014/main" id="{F79B01B9-AD92-43E3-B360-2BA2259F6D17}"/>
            </a:ext>
          </a:extLst>
        </xdr:cNvPr>
        <xdr:cNvSpPr/>
      </xdr:nvSpPr>
      <xdr:spPr>
        <a:xfrm>
          <a:off x="20955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38100</xdr:colOff>
      <xdr:row>5</xdr:row>
      <xdr:rowOff>57150</xdr:rowOff>
    </xdr:from>
    <xdr:to>
      <xdr:col>7</xdr:col>
      <xdr:colOff>104775</xdr:colOff>
      <xdr:row>5</xdr:row>
      <xdr:rowOff>152400</xdr:rowOff>
    </xdr:to>
    <xdr:sp macro="" textlink="">
      <xdr:nvSpPr>
        <xdr:cNvPr id="136" name="Diagrama de flujo: conector 135">
          <a:extLst>
            <a:ext uri="{FF2B5EF4-FFF2-40B4-BE49-F238E27FC236}">
              <a16:creationId xmlns:a16="http://schemas.microsoft.com/office/drawing/2014/main" id="{974F2888-AA7E-428A-A717-05A243782A20}"/>
            </a:ext>
          </a:extLst>
        </xdr:cNvPr>
        <xdr:cNvSpPr/>
      </xdr:nvSpPr>
      <xdr:spPr>
        <a:xfrm>
          <a:off x="20955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38100</xdr:colOff>
      <xdr:row>6</xdr:row>
      <xdr:rowOff>47625</xdr:rowOff>
    </xdr:from>
    <xdr:to>
      <xdr:col>7</xdr:col>
      <xdr:colOff>104775</xdr:colOff>
      <xdr:row>6</xdr:row>
      <xdr:rowOff>142875</xdr:rowOff>
    </xdr:to>
    <xdr:sp macro="" textlink="">
      <xdr:nvSpPr>
        <xdr:cNvPr id="137" name="Diagrama de flujo: conector 136">
          <a:extLst>
            <a:ext uri="{FF2B5EF4-FFF2-40B4-BE49-F238E27FC236}">
              <a16:creationId xmlns:a16="http://schemas.microsoft.com/office/drawing/2014/main" id="{0FE8DCFA-805F-4321-AF98-0D3C7BA4BD1D}"/>
            </a:ext>
          </a:extLst>
        </xdr:cNvPr>
        <xdr:cNvSpPr/>
      </xdr:nvSpPr>
      <xdr:spPr>
        <a:xfrm>
          <a:off x="209550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38100</xdr:colOff>
      <xdr:row>7</xdr:row>
      <xdr:rowOff>47625</xdr:rowOff>
    </xdr:from>
    <xdr:to>
      <xdr:col>7</xdr:col>
      <xdr:colOff>104775</xdr:colOff>
      <xdr:row>7</xdr:row>
      <xdr:rowOff>142875</xdr:rowOff>
    </xdr:to>
    <xdr:sp macro="" textlink="">
      <xdr:nvSpPr>
        <xdr:cNvPr id="138" name="Diagrama de flujo: conector 137">
          <a:extLst>
            <a:ext uri="{FF2B5EF4-FFF2-40B4-BE49-F238E27FC236}">
              <a16:creationId xmlns:a16="http://schemas.microsoft.com/office/drawing/2014/main" id="{72FCACBC-BBD4-4D73-9313-B3CB9A1987AE}"/>
            </a:ext>
          </a:extLst>
        </xdr:cNvPr>
        <xdr:cNvSpPr/>
      </xdr:nvSpPr>
      <xdr:spPr>
        <a:xfrm>
          <a:off x="20955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38100</xdr:colOff>
      <xdr:row>8</xdr:row>
      <xdr:rowOff>57150</xdr:rowOff>
    </xdr:from>
    <xdr:to>
      <xdr:col>7</xdr:col>
      <xdr:colOff>104775</xdr:colOff>
      <xdr:row>8</xdr:row>
      <xdr:rowOff>152400</xdr:rowOff>
    </xdr:to>
    <xdr:sp macro="" textlink="">
      <xdr:nvSpPr>
        <xdr:cNvPr id="139" name="Diagrama de flujo: conector 138">
          <a:extLst>
            <a:ext uri="{FF2B5EF4-FFF2-40B4-BE49-F238E27FC236}">
              <a16:creationId xmlns:a16="http://schemas.microsoft.com/office/drawing/2014/main" id="{0867C259-468D-4DA8-B415-2598258F90FD}"/>
            </a:ext>
          </a:extLst>
        </xdr:cNvPr>
        <xdr:cNvSpPr/>
      </xdr:nvSpPr>
      <xdr:spPr>
        <a:xfrm>
          <a:off x="20955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38100</xdr:colOff>
      <xdr:row>9</xdr:row>
      <xdr:rowOff>57150</xdr:rowOff>
    </xdr:from>
    <xdr:to>
      <xdr:col>7</xdr:col>
      <xdr:colOff>104775</xdr:colOff>
      <xdr:row>9</xdr:row>
      <xdr:rowOff>152400</xdr:rowOff>
    </xdr:to>
    <xdr:sp macro="" textlink="">
      <xdr:nvSpPr>
        <xdr:cNvPr id="140" name="Diagrama de flujo: conector 139">
          <a:extLst>
            <a:ext uri="{FF2B5EF4-FFF2-40B4-BE49-F238E27FC236}">
              <a16:creationId xmlns:a16="http://schemas.microsoft.com/office/drawing/2014/main" id="{F51C94B1-F23B-4CE0-B493-6B76B4BACF41}"/>
            </a:ext>
          </a:extLst>
        </xdr:cNvPr>
        <xdr:cNvSpPr/>
      </xdr:nvSpPr>
      <xdr:spPr>
        <a:xfrm>
          <a:off x="20955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38100</xdr:colOff>
      <xdr:row>10</xdr:row>
      <xdr:rowOff>47625</xdr:rowOff>
    </xdr:from>
    <xdr:to>
      <xdr:col>7</xdr:col>
      <xdr:colOff>104775</xdr:colOff>
      <xdr:row>10</xdr:row>
      <xdr:rowOff>142875</xdr:rowOff>
    </xdr:to>
    <xdr:sp macro="" textlink="">
      <xdr:nvSpPr>
        <xdr:cNvPr id="141" name="Diagrama de flujo: conector 140">
          <a:extLst>
            <a:ext uri="{FF2B5EF4-FFF2-40B4-BE49-F238E27FC236}">
              <a16:creationId xmlns:a16="http://schemas.microsoft.com/office/drawing/2014/main" id="{E40D093D-6E14-4680-BD89-7F6690207F90}"/>
            </a:ext>
          </a:extLst>
        </xdr:cNvPr>
        <xdr:cNvSpPr/>
      </xdr:nvSpPr>
      <xdr:spPr>
        <a:xfrm>
          <a:off x="209550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38100</xdr:colOff>
      <xdr:row>12</xdr:row>
      <xdr:rowOff>47625</xdr:rowOff>
    </xdr:from>
    <xdr:to>
      <xdr:col>7</xdr:col>
      <xdr:colOff>104775</xdr:colOff>
      <xdr:row>12</xdr:row>
      <xdr:rowOff>142875</xdr:rowOff>
    </xdr:to>
    <xdr:sp macro="" textlink="">
      <xdr:nvSpPr>
        <xdr:cNvPr id="142" name="Diagrama de flujo: conector 141">
          <a:extLst>
            <a:ext uri="{FF2B5EF4-FFF2-40B4-BE49-F238E27FC236}">
              <a16:creationId xmlns:a16="http://schemas.microsoft.com/office/drawing/2014/main" id="{1B445CF3-ED80-4B6A-804C-6611E1076388}"/>
            </a:ext>
          </a:extLst>
        </xdr:cNvPr>
        <xdr:cNvSpPr/>
      </xdr:nvSpPr>
      <xdr:spPr>
        <a:xfrm>
          <a:off x="20955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38100</xdr:colOff>
      <xdr:row>2</xdr:row>
      <xdr:rowOff>57150</xdr:rowOff>
    </xdr:from>
    <xdr:to>
      <xdr:col>8</xdr:col>
      <xdr:colOff>104775</xdr:colOff>
      <xdr:row>2</xdr:row>
      <xdr:rowOff>152400</xdr:rowOff>
    </xdr:to>
    <xdr:sp macro="" textlink="">
      <xdr:nvSpPr>
        <xdr:cNvPr id="143" name="Diagrama de flujo: conector 142">
          <a:extLst>
            <a:ext uri="{FF2B5EF4-FFF2-40B4-BE49-F238E27FC236}">
              <a16:creationId xmlns:a16="http://schemas.microsoft.com/office/drawing/2014/main" id="{9FC3D64A-E5B1-4BD4-8CAB-1F402FC69A40}"/>
            </a:ext>
          </a:extLst>
        </xdr:cNvPr>
        <xdr:cNvSpPr/>
      </xdr:nvSpPr>
      <xdr:spPr>
        <a:xfrm>
          <a:off x="20955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38100</xdr:colOff>
      <xdr:row>3</xdr:row>
      <xdr:rowOff>57150</xdr:rowOff>
    </xdr:from>
    <xdr:to>
      <xdr:col>8</xdr:col>
      <xdr:colOff>104775</xdr:colOff>
      <xdr:row>3</xdr:row>
      <xdr:rowOff>152400</xdr:rowOff>
    </xdr:to>
    <xdr:sp macro="" textlink="">
      <xdr:nvSpPr>
        <xdr:cNvPr id="144" name="Diagrama de flujo: conector 143">
          <a:extLst>
            <a:ext uri="{FF2B5EF4-FFF2-40B4-BE49-F238E27FC236}">
              <a16:creationId xmlns:a16="http://schemas.microsoft.com/office/drawing/2014/main" id="{364DC886-E2DF-40D7-A40A-B74269421B4F}"/>
            </a:ext>
          </a:extLst>
        </xdr:cNvPr>
        <xdr:cNvSpPr/>
      </xdr:nvSpPr>
      <xdr:spPr>
        <a:xfrm>
          <a:off x="20955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38100</xdr:colOff>
      <xdr:row>4</xdr:row>
      <xdr:rowOff>57150</xdr:rowOff>
    </xdr:from>
    <xdr:to>
      <xdr:col>8</xdr:col>
      <xdr:colOff>104775</xdr:colOff>
      <xdr:row>4</xdr:row>
      <xdr:rowOff>152400</xdr:rowOff>
    </xdr:to>
    <xdr:sp macro="" textlink="">
      <xdr:nvSpPr>
        <xdr:cNvPr id="145" name="Diagrama de flujo: conector 144">
          <a:extLst>
            <a:ext uri="{FF2B5EF4-FFF2-40B4-BE49-F238E27FC236}">
              <a16:creationId xmlns:a16="http://schemas.microsoft.com/office/drawing/2014/main" id="{06A7784E-C734-4FC9-A3B2-BBCDD4B4ED27}"/>
            </a:ext>
          </a:extLst>
        </xdr:cNvPr>
        <xdr:cNvSpPr/>
      </xdr:nvSpPr>
      <xdr:spPr>
        <a:xfrm>
          <a:off x="20955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38100</xdr:colOff>
      <xdr:row>5</xdr:row>
      <xdr:rowOff>57150</xdr:rowOff>
    </xdr:from>
    <xdr:to>
      <xdr:col>8</xdr:col>
      <xdr:colOff>104775</xdr:colOff>
      <xdr:row>5</xdr:row>
      <xdr:rowOff>152400</xdr:rowOff>
    </xdr:to>
    <xdr:sp macro="" textlink="">
      <xdr:nvSpPr>
        <xdr:cNvPr id="146" name="Diagrama de flujo: conector 145">
          <a:extLst>
            <a:ext uri="{FF2B5EF4-FFF2-40B4-BE49-F238E27FC236}">
              <a16:creationId xmlns:a16="http://schemas.microsoft.com/office/drawing/2014/main" id="{24C60889-BC05-4313-A0A7-9E03F0E3922F}"/>
            </a:ext>
          </a:extLst>
        </xdr:cNvPr>
        <xdr:cNvSpPr/>
      </xdr:nvSpPr>
      <xdr:spPr>
        <a:xfrm>
          <a:off x="20955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38100</xdr:colOff>
      <xdr:row>6</xdr:row>
      <xdr:rowOff>47625</xdr:rowOff>
    </xdr:from>
    <xdr:to>
      <xdr:col>8</xdr:col>
      <xdr:colOff>104775</xdr:colOff>
      <xdr:row>6</xdr:row>
      <xdr:rowOff>142875</xdr:rowOff>
    </xdr:to>
    <xdr:sp macro="" textlink="">
      <xdr:nvSpPr>
        <xdr:cNvPr id="147" name="Diagrama de flujo: conector 146">
          <a:extLst>
            <a:ext uri="{FF2B5EF4-FFF2-40B4-BE49-F238E27FC236}">
              <a16:creationId xmlns:a16="http://schemas.microsoft.com/office/drawing/2014/main" id="{3179F9E4-C2D8-4ADC-BF5C-397A279CED77}"/>
            </a:ext>
          </a:extLst>
        </xdr:cNvPr>
        <xdr:cNvSpPr/>
      </xdr:nvSpPr>
      <xdr:spPr>
        <a:xfrm>
          <a:off x="209550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38100</xdr:colOff>
      <xdr:row>7</xdr:row>
      <xdr:rowOff>47625</xdr:rowOff>
    </xdr:from>
    <xdr:to>
      <xdr:col>8</xdr:col>
      <xdr:colOff>104775</xdr:colOff>
      <xdr:row>7</xdr:row>
      <xdr:rowOff>142875</xdr:rowOff>
    </xdr:to>
    <xdr:sp macro="" textlink="">
      <xdr:nvSpPr>
        <xdr:cNvPr id="148" name="Diagrama de flujo: conector 147">
          <a:extLst>
            <a:ext uri="{FF2B5EF4-FFF2-40B4-BE49-F238E27FC236}">
              <a16:creationId xmlns:a16="http://schemas.microsoft.com/office/drawing/2014/main" id="{9607EF0B-DDD5-4A36-B9BC-4106BB631157}"/>
            </a:ext>
          </a:extLst>
        </xdr:cNvPr>
        <xdr:cNvSpPr/>
      </xdr:nvSpPr>
      <xdr:spPr>
        <a:xfrm>
          <a:off x="20955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38100</xdr:colOff>
      <xdr:row>8</xdr:row>
      <xdr:rowOff>57150</xdr:rowOff>
    </xdr:from>
    <xdr:to>
      <xdr:col>8</xdr:col>
      <xdr:colOff>104775</xdr:colOff>
      <xdr:row>8</xdr:row>
      <xdr:rowOff>152400</xdr:rowOff>
    </xdr:to>
    <xdr:sp macro="" textlink="">
      <xdr:nvSpPr>
        <xdr:cNvPr id="149" name="Diagrama de flujo: conector 148">
          <a:extLst>
            <a:ext uri="{FF2B5EF4-FFF2-40B4-BE49-F238E27FC236}">
              <a16:creationId xmlns:a16="http://schemas.microsoft.com/office/drawing/2014/main" id="{BF0B781F-C53D-4931-BFF9-E6E2A218E4B7}"/>
            </a:ext>
          </a:extLst>
        </xdr:cNvPr>
        <xdr:cNvSpPr/>
      </xdr:nvSpPr>
      <xdr:spPr>
        <a:xfrm>
          <a:off x="20955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38100</xdr:colOff>
      <xdr:row>9</xdr:row>
      <xdr:rowOff>57150</xdr:rowOff>
    </xdr:from>
    <xdr:to>
      <xdr:col>8</xdr:col>
      <xdr:colOff>104775</xdr:colOff>
      <xdr:row>9</xdr:row>
      <xdr:rowOff>152400</xdr:rowOff>
    </xdr:to>
    <xdr:sp macro="" textlink="">
      <xdr:nvSpPr>
        <xdr:cNvPr id="150" name="Diagrama de flujo: conector 149">
          <a:extLst>
            <a:ext uri="{FF2B5EF4-FFF2-40B4-BE49-F238E27FC236}">
              <a16:creationId xmlns:a16="http://schemas.microsoft.com/office/drawing/2014/main" id="{30B4952F-B010-4821-A3BC-B90FBCFA987E}"/>
            </a:ext>
          </a:extLst>
        </xdr:cNvPr>
        <xdr:cNvSpPr/>
      </xdr:nvSpPr>
      <xdr:spPr>
        <a:xfrm>
          <a:off x="20955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38100</xdr:colOff>
      <xdr:row>10</xdr:row>
      <xdr:rowOff>47625</xdr:rowOff>
    </xdr:from>
    <xdr:to>
      <xdr:col>8</xdr:col>
      <xdr:colOff>104775</xdr:colOff>
      <xdr:row>10</xdr:row>
      <xdr:rowOff>142875</xdr:rowOff>
    </xdr:to>
    <xdr:sp macro="" textlink="">
      <xdr:nvSpPr>
        <xdr:cNvPr id="151" name="Diagrama de flujo: conector 150">
          <a:extLst>
            <a:ext uri="{FF2B5EF4-FFF2-40B4-BE49-F238E27FC236}">
              <a16:creationId xmlns:a16="http://schemas.microsoft.com/office/drawing/2014/main" id="{84CF2458-EC66-4D7F-92A2-E888F601740B}"/>
            </a:ext>
          </a:extLst>
        </xdr:cNvPr>
        <xdr:cNvSpPr/>
      </xdr:nvSpPr>
      <xdr:spPr>
        <a:xfrm>
          <a:off x="209550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38100</xdr:colOff>
      <xdr:row>12</xdr:row>
      <xdr:rowOff>47625</xdr:rowOff>
    </xdr:from>
    <xdr:to>
      <xdr:col>8</xdr:col>
      <xdr:colOff>104775</xdr:colOff>
      <xdr:row>12</xdr:row>
      <xdr:rowOff>142875</xdr:rowOff>
    </xdr:to>
    <xdr:sp macro="" textlink="">
      <xdr:nvSpPr>
        <xdr:cNvPr id="152" name="Diagrama de flujo: conector 151">
          <a:extLst>
            <a:ext uri="{FF2B5EF4-FFF2-40B4-BE49-F238E27FC236}">
              <a16:creationId xmlns:a16="http://schemas.microsoft.com/office/drawing/2014/main" id="{43A4DF96-6408-4559-937F-BD59922FE11C}"/>
            </a:ext>
          </a:extLst>
        </xdr:cNvPr>
        <xdr:cNvSpPr/>
      </xdr:nvSpPr>
      <xdr:spPr>
        <a:xfrm>
          <a:off x="20955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38100</xdr:colOff>
      <xdr:row>2</xdr:row>
      <xdr:rowOff>57150</xdr:rowOff>
    </xdr:from>
    <xdr:to>
      <xdr:col>9</xdr:col>
      <xdr:colOff>104775</xdr:colOff>
      <xdr:row>2</xdr:row>
      <xdr:rowOff>152400</xdr:rowOff>
    </xdr:to>
    <xdr:sp macro="" textlink="">
      <xdr:nvSpPr>
        <xdr:cNvPr id="153" name="Diagrama de flujo: conector 152">
          <a:extLst>
            <a:ext uri="{FF2B5EF4-FFF2-40B4-BE49-F238E27FC236}">
              <a16:creationId xmlns:a16="http://schemas.microsoft.com/office/drawing/2014/main" id="{B4234FF2-6DA3-4AB7-BBF6-CAF6948A0CC3}"/>
            </a:ext>
          </a:extLst>
        </xdr:cNvPr>
        <xdr:cNvSpPr/>
      </xdr:nvSpPr>
      <xdr:spPr>
        <a:xfrm>
          <a:off x="20955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38100</xdr:colOff>
      <xdr:row>3</xdr:row>
      <xdr:rowOff>57150</xdr:rowOff>
    </xdr:from>
    <xdr:to>
      <xdr:col>9</xdr:col>
      <xdr:colOff>104775</xdr:colOff>
      <xdr:row>3</xdr:row>
      <xdr:rowOff>152400</xdr:rowOff>
    </xdr:to>
    <xdr:sp macro="" textlink="">
      <xdr:nvSpPr>
        <xdr:cNvPr id="154" name="Diagrama de flujo: conector 153">
          <a:extLst>
            <a:ext uri="{FF2B5EF4-FFF2-40B4-BE49-F238E27FC236}">
              <a16:creationId xmlns:a16="http://schemas.microsoft.com/office/drawing/2014/main" id="{7BE95B28-1F87-411D-AB63-65810996C668}"/>
            </a:ext>
          </a:extLst>
        </xdr:cNvPr>
        <xdr:cNvSpPr/>
      </xdr:nvSpPr>
      <xdr:spPr>
        <a:xfrm>
          <a:off x="20955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38100</xdr:colOff>
      <xdr:row>4</xdr:row>
      <xdr:rowOff>57150</xdr:rowOff>
    </xdr:from>
    <xdr:to>
      <xdr:col>9</xdr:col>
      <xdr:colOff>104775</xdr:colOff>
      <xdr:row>4</xdr:row>
      <xdr:rowOff>152400</xdr:rowOff>
    </xdr:to>
    <xdr:sp macro="" textlink="">
      <xdr:nvSpPr>
        <xdr:cNvPr id="155" name="Diagrama de flujo: conector 154">
          <a:extLst>
            <a:ext uri="{FF2B5EF4-FFF2-40B4-BE49-F238E27FC236}">
              <a16:creationId xmlns:a16="http://schemas.microsoft.com/office/drawing/2014/main" id="{F41A77F5-2561-4F77-9183-6B7A071486DE}"/>
            </a:ext>
          </a:extLst>
        </xdr:cNvPr>
        <xdr:cNvSpPr/>
      </xdr:nvSpPr>
      <xdr:spPr>
        <a:xfrm>
          <a:off x="20955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38100</xdr:colOff>
      <xdr:row>5</xdr:row>
      <xdr:rowOff>57150</xdr:rowOff>
    </xdr:from>
    <xdr:to>
      <xdr:col>9</xdr:col>
      <xdr:colOff>104775</xdr:colOff>
      <xdr:row>5</xdr:row>
      <xdr:rowOff>152400</xdr:rowOff>
    </xdr:to>
    <xdr:sp macro="" textlink="">
      <xdr:nvSpPr>
        <xdr:cNvPr id="156" name="Diagrama de flujo: conector 155">
          <a:extLst>
            <a:ext uri="{FF2B5EF4-FFF2-40B4-BE49-F238E27FC236}">
              <a16:creationId xmlns:a16="http://schemas.microsoft.com/office/drawing/2014/main" id="{A77C9F04-C431-4D32-BD90-32BE5D08AC8E}"/>
            </a:ext>
          </a:extLst>
        </xdr:cNvPr>
        <xdr:cNvSpPr/>
      </xdr:nvSpPr>
      <xdr:spPr>
        <a:xfrm>
          <a:off x="20955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38100</xdr:colOff>
      <xdr:row>6</xdr:row>
      <xdr:rowOff>47625</xdr:rowOff>
    </xdr:from>
    <xdr:to>
      <xdr:col>9</xdr:col>
      <xdr:colOff>104775</xdr:colOff>
      <xdr:row>6</xdr:row>
      <xdr:rowOff>142875</xdr:rowOff>
    </xdr:to>
    <xdr:sp macro="" textlink="">
      <xdr:nvSpPr>
        <xdr:cNvPr id="157" name="Diagrama de flujo: conector 156">
          <a:extLst>
            <a:ext uri="{FF2B5EF4-FFF2-40B4-BE49-F238E27FC236}">
              <a16:creationId xmlns:a16="http://schemas.microsoft.com/office/drawing/2014/main" id="{1787BEB4-172E-4D06-AF61-3B3A73AE9AA5}"/>
            </a:ext>
          </a:extLst>
        </xdr:cNvPr>
        <xdr:cNvSpPr/>
      </xdr:nvSpPr>
      <xdr:spPr>
        <a:xfrm>
          <a:off x="209550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38100</xdr:colOff>
      <xdr:row>7</xdr:row>
      <xdr:rowOff>47625</xdr:rowOff>
    </xdr:from>
    <xdr:to>
      <xdr:col>9</xdr:col>
      <xdr:colOff>104775</xdr:colOff>
      <xdr:row>7</xdr:row>
      <xdr:rowOff>142875</xdr:rowOff>
    </xdr:to>
    <xdr:sp macro="" textlink="">
      <xdr:nvSpPr>
        <xdr:cNvPr id="158" name="Diagrama de flujo: conector 157">
          <a:extLst>
            <a:ext uri="{FF2B5EF4-FFF2-40B4-BE49-F238E27FC236}">
              <a16:creationId xmlns:a16="http://schemas.microsoft.com/office/drawing/2014/main" id="{79779F65-32D3-4A94-86F0-E72BFFC1945B}"/>
            </a:ext>
          </a:extLst>
        </xdr:cNvPr>
        <xdr:cNvSpPr/>
      </xdr:nvSpPr>
      <xdr:spPr>
        <a:xfrm>
          <a:off x="20955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38100</xdr:colOff>
      <xdr:row>8</xdr:row>
      <xdr:rowOff>57150</xdr:rowOff>
    </xdr:from>
    <xdr:to>
      <xdr:col>9</xdr:col>
      <xdr:colOff>104775</xdr:colOff>
      <xdr:row>8</xdr:row>
      <xdr:rowOff>152400</xdr:rowOff>
    </xdr:to>
    <xdr:sp macro="" textlink="">
      <xdr:nvSpPr>
        <xdr:cNvPr id="159" name="Diagrama de flujo: conector 158">
          <a:extLst>
            <a:ext uri="{FF2B5EF4-FFF2-40B4-BE49-F238E27FC236}">
              <a16:creationId xmlns:a16="http://schemas.microsoft.com/office/drawing/2014/main" id="{82D8C6BE-DE65-4313-9312-D0FC2827AC31}"/>
            </a:ext>
          </a:extLst>
        </xdr:cNvPr>
        <xdr:cNvSpPr/>
      </xdr:nvSpPr>
      <xdr:spPr>
        <a:xfrm>
          <a:off x="20955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38100</xdr:colOff>
      <xdr:row>9</xdr:row>
      <xdr:rowOff>57150</xdr:rowOff>
    </xdr:from>
    <xdr:to>
      <xdr:col>9</xdr:col>
      <xdr:colOff>104775</xdr:colOff>
      <xdr:row>9</xdr:row>
      <xdr:rowOff>152400</xdr:rowOff>
    </xdr:to>
    <xdr:sp macro="" textlink="">
      <xdr:nvSpPr>
        <xdr:cNvPr id="160" name="Diagrama de flujo: conector 159">
          <a:extLst>
            <a:ext uri="{FF2B5EF4-FFF2-40B4-BE49-F238E27FC236}">
              <a16:creationId xmlns:a16="http://schemas.microsoft.com/office/drawing/2014/main" id="{B7413A77-AC59-4C8C-AB83-974FD3CDAB2C}"/>
            </a:ext>
          </a:extLst>
        </xdr:cNvPr>
        <xdr:cNvSpPr/>
      </xdr:nvSpPr>
      <xdr:spPr>
        <a:xfrm>
          <a:off x="20955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38100</xdr:colOff>
      <xdr:row>10</xdr:row>
      <xdr:rowOff>47625</xdr:rowOff>
    </xdr:from>
    <xdr:to>
      <xdr:col>9</xdr:col>
      <xdr:colOff>104775</xdr:colOff>
      <xdr:row>10</xdr:row>
      <xdr:rowOff>142875</xdr:rowOff>
    </xdr:to>
    <xdr:sp macro="" textlink="">
      <xdr:nvSpPr>
        <xdr:cNvPr id="161" name="Diagrama de flujo: conector 160">
          <a:extLst>
            <a:ext uri="{FF2B5EF4-FFF2-40B4-BE49-F238E27FC236}">
              <a16:creationId xmlns:a16="http://schemas.microsoft.com/office/drawing/2014/main" id="{BB9AB040-7343-4FEA-BAA7-9C071F0474A2}"/>
            </a:ext>
          </a:extLst>
        </xdr:cNvPr>
        <xdr:cNvSpPr/>
      </xdr:nvSpPr>
      <xdr:spPr>
        <a:xfrm>
          <a:off x="209550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38100</xdr:colOff>
      <xdr:row>12</xdr:row>
      <xdr:rowOff>47625</xdr:rowOff>
    </xdr:from>
    <xdr:to>
      <xdr:col>9</xdr:col>
      <xdr:colOff>104775</xdr:colOff>
      <xdr:row>12</xdr:row>
      <xdr:rowOff>142875</xdr:rowOff>
    </xdr:to>
    <xdr:sp macro="" textlink="">
      <xdr:nvSpPr>
        <xdr:cNvPr id="162" name="Diagrama de flujo: conector 161">
          <a:extLst>
            <a:ext uri="{FF2B5EF4-FFF2-40B4-BE49-F238E27FC236}">
              <a16:creationId xmlns:a16="http://schemas.microsoft.com/office/drawing/2014/main" id="{DE458F65-C542-4DDD-914B-A77AAD71E24A}"/>
            </a:ext>
          </a:extLst>
        </xdr:cNvPr>
        <xdr:cNvSpPr/>
      </xdr:nvSpPr>
      <xdr:spPr>
        <a:xfrm>
          <a:off x="20955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38100</xdr:colOff>
      <xdr:row>2</xdr:row>
      <xdr:rowOff>57150</xdr:rowOff>
    </xdr:from>
    <xdr:to>
      <xdr:col>10</xdr:col>
      <xdr:colOff>104775</xdr:colOff>
      <xdr:row>2</xdr:row>
      <xdr:rowOff>152400</xdr:rowOff>
    </xdr:to>
    <xdr:sp macro="" textlink="">
      <xdr:nvSpPr>
        <xdr:cNvPr id="163" name="Diagrama de flujo: conector 162">
          <a:extLst>
            <a:ext uri="{FF2B5EF4-FFF2-40B4-BE49-F238E27FC236}">
              <a16:creationId xmlns:a16="http://schemas.microsoft.com/office/drawing/2014/main" id="{29D47E73-2FDD-4490-B05B-9A585457F98C}"/>
            </a:ext>
          </a:extLst>
        </xdr:cNvPr>
        <xdr:cNvSpPr/>
      </xdr:nvSpPr>
      <xdr:spPr>
        <a:xfrm>
          <a:off x="20955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38100</xdr:colOff>
      <xdr:row>3</xdr:row>
      <xdr:rowOff>57150</xdr:rowOff>
    </xdr:from>
    <xdr:to>
      <xdr:col>10</xdr:col>
      <xdr:colOff>104775</xdr:colOff>
      <xdr:row>3</xdr:row>
      <xdr:rowOff>152400</xdr:rowOff>
    </xdr:to>
    <xdr:sp macro="" textlink="">
      <xdr:nvSpPr>
        <xdr:cNvPr id="164" name="Diagrama de flujo: conector 163">
          <a:extLst>
            <a:ext uri="{FF2B5EF4-FFF2-40B4-BE49-F238E27FC236}">
              <a16:creationId xmlns:a16="http://schemas.microsoft.com/office/drawing/2014/main" id="{05E4DCF7-FB45-4696-AF40-3E4E8E9FA2F3}"/>
            </a:ext>
          </a:extLst>
        </xdr:cNvPr>
        <xdr:cNvSpPr/>
      </xdr:nvSpPr>
      <xdr:spPr>
        <a:xfrm>
          <a:off x="20955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38100</xdr:colOff>
      <xdr:row>4</xdr:row>
      <xdr:rowOff>57150</xdr:rowOff>
    </xdr:from>
    <xdr:to>
      <xdr:col>10</xdr:col>
      <xdr:colOff>104775</xdr:colOff>
      <xdr:row>4</xdr:row>
      <xdr:rowOff>152400</xdr:rowOff>
    </xdr:to>
    <xdr:sp macro="" textlink="">
      <xdr:nvSpPr>
        <xdr:cNvPr id="165" name="Diagrama de flujo: conector 164">
          <a:extLst>
            <a:ext uri="{FF2B5EF4-FFF2-40B4-BE49-F238E27FC236}">
              <a16:creationId xmlns:a16="http://schemas.microsoft.com/office/drawing/2014/main" id="{6AC695CA-0DE2-457C-86E5-EE90E2CDD08E}"/>
            </a:ext>
          </a:extLst>
        </xdr:cNvPr>
        <xdr:cNvSpPr/>
      </xdr:nvSpPr>
      <xdr:spPr>
        <a:xfrm>
          <a:off x="20955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38100</xdr:colOff>
      <xdr:row>5</xdr:row>
      <xdr:rowOff>57150</xdr:rowOff>
    </xdr:from>
    <xdr:to>
      <xdr:col>10</xdr:col>
      <xdr:colOff>104775</xdr:colOff>
      <xdr:row>5</xdr:row>
      <xdr:rowOff>152400</xdr:rowOff>
    </xdr:to>
    <xdr:sp macro="" textlink="">
      <xdr:nvSpPr>
        <xdr:cNvPr id="166" name="Diagrama de flujo: conector 165">
          <a:extLst>
            <a:ext uri="{FF2B5EF4-FFF2-40B4-BE49-F238E27FC236}">
              <a16:creationId xmlns:a16="http://schemas.microsoft.com/office/drawing/2014/main" id="{ECF49A5B-A498-4A59-8356-74C323FC0FDF}"/>
            </a:ext>
          </a:extLst>
        </xdr:cNvPr>
        <xdr:cNvSpPr/>
      </xdr:nvSpPr>
      <xdr:spPr>
        <a:xfrm>
          <a:off x="20955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38100</xdr:colOff>
      <xdr:row>6</xdr:row>
      <xdr:rowOff>47625</xdr:rowOff>
    </xdr:from>
    <xdr:to>
      <xdr:col>10</xdr:col>
      <xdr:colOff>104775</xdr:colOff>
      <xdr:row>6</xdr:row>
      <xdr:rowOff>142875</xdr:rowOff>
    </xdr:to>
    <xdr:sp macro="" textlink="">
      <xdr:nvSpPr>
        <xdr:cNvPr id="167" name="Diagrama de flujo: conector 166">
          <a:extLst>
            <a:ext uri="{FF2B5EF4-FFF2-40B4-BE49-F238E27FC236}">
              <a16:creationId xmlns:a16="http://schemas.microsoft.com/office/drawing/2014/main" id="{6F827C9B-F928-42A7-888A-C355D75452BB}"/>
            </a:ext>
          </a:extLst>
        </xdr:cNvPr>
        <xdr:cNvSpPr/>
      </xdr:nvSpPr>
      <xdr:spPr>
        <a:xfrm>
          <a:off x="209550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38100</xdr:colOff>
      <xdr:row>7</xdr:row>
      <xdr:rowOff>47625</xdr:rowOff>
    </xdr:from>
    <xdr:to>
      <xdr:col>10</xdr:col>
      <xdr:colOff>104775</xdr:colOff>
      <xdr:row>7</xdr:row>
      <xdr:rowOff>142875</xdr:rowOff>
    </xdr:to>
    <xdr:sp macro="" textlink="">
      <xdr:nvSpPr>
        <xdr:cNvPr id="168" name="Diagrama de flujo: conector 167">
          <a:extLst>
            <a:ext uri="{FF2B5EF4-FFF2-40B4-BE49-F238E27FC236}">
              <a16:creationId xmlns:a16="http://schemas.microsoft.com/office/drawing/2014/main" id="{70186294-3C38-4136-B56C-925A465AA0DD}"/>
            </a:ext>
          </a:extLst>
        </xdr:cNvPr>
        <xdr:cNvSpPr/>
      </xdr:nvSpPr>
      <xdr:spPr>
        <a:xfrm>
          <a:off x="20955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38100</xdr:colOff>
      <xdr:row>8</xdr:row>
      <xdr:rowOff>57150</xdr:rowOff>
    </xdr:from>
    <xdr:to>
      <xdr:col>10</xdr:col>
      <xdr:colOff>104775</xdr:colOff>
      <xdr:row>8</xdr:row>
      <xdr:rowOff>152400</xdr:rowOff>
    </xdr:to>
    <xdr:sp macro="" textlink="">
      <xdr:nvSpPr>
        <xdr:cNvPr id="169" name="Diagrama de flujo: conector 168">
          <a:extLst>
            <a:ext uri="{FF2B5EF4-FFF2-40B4-BE49-F238E27FC236}">
              <a16:creationId xmlns:a16="http://schemas.microsoft.com/office/drawing/2014/main" id="{DB46897C-E885-43BE-BFE7-C8D28C4F9BF8}"/>
            </a:ext>
          </a:extLst>
        </xdr:cNvPr>
        <xdr:cNvSpPr/>
      </xdr:nvSpPr>
      <xdr:spPr>
        <a:xfrm>
          <a:off x="20955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38100</xdr:colOff>
      <xdr:row>9</xdr:row>
      <xdr:rowOff>57150</xdr:rowOff>
    </xdr:from>
    <xdr:to>
      <xdr:col>10</xdr:col>
      <xdr:colOff>104775</xdr:colOff>
      <xdr:row>9</xdr:row>
      <xdr:rowOff>152400</xdr:rowOff>
    </xdr:to>
    <xdr:sp macro="" textlink="">
      <xdr:nvSpPr>
        <xdr:cNvPr id="170" name="Diagrama de flujo: conector 169">
          <a:extLst>
            <a:ext uri="{FF2B5EF4-FFF2-40B4-BE49-F238E27FC236}">
              <a16:creationId xmlns:a16="http://schemas.microsoft.com/office/drawing/2014/main" id="{E548A1F3-4138-47F7-9607-C9DE20D8F6D6}"/>
            </a:ext>
          </a:extLst>
        </xdr:cNvPr>
        <xdr:cNvSpPr/>
      </xdr:nvSpPr>
      <xdr:spPr>
        <a:xfrm>
          <a:off x="20955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38100</xdr:colOff>
      <xdr:row>10</xdr:row>
      <xdr:rowOff>47625</xdr:rowOff>
    </xdr:from>
    <xdr:to>
      <xdr:col>10</xdr:col>
      <xdr:colOff>104775</xdr:colOff>
      <xdr:row>10</xdr:row>
      <xdr:rowOff>142875</xdr:rowOff>
    </xdr:to>
    <xdr:sp macro="" textlink="">
      <xdr:nvSpPr>
        <xdr:cNvPr id="171" name="Diagrama de flujo: conector 170">
          <a:extLst>
            <a:ext uri="{FF2B5EF4-FFF2-40B4-BE49-F238E27FC236}">
              <a16:creationId xmlns:a16="http://schemas.microsoft.com/office/drawing/2014/main" id="{7246F09B-21ED-487A-A76E-34073D6CB86A}"/>
            </a:ext>
          </a:extLst>
        </xdr:cNvPr>
        <xdr:cNvSpPr/>
      </xdr:nvSpPr>
      <xdr:spPr>
        <a:xfrm>
          <a:off x="209550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38100</xdr:colOff>
      <xdr:row>12</xdr:row>
      <xdr:rowOff>47625</xdr:rowOff>
    </xdr:from>
    <xdr:to>
      <xdr:col>10</xdr:col>
      <xdr:colOff>104775</xdr:colOff>
      <xdr:row>12</xdr:row>
      <xdr:rowOff>142875</xdr:rowOff>
    </xdr:to>
    <xdr:sp macro="" textlink="">
      <xdr:nvSpPr>
        <xdr:cNvPr id="172" name="Diagrama de flujo: conector 171">
          <a:extLst>
            <a:ext uri="{FF2B5EF4-FFF2-40B4-BE49-F238E27FC236}">
              <a16:creationId xmlns:a16="http://schemas.microsoft.com/office/drawing/2014/main" id="{1EF708DB-4BA1-44AC-B63C-6EE647531818}"/>
            </a:ext>
          </a:extLst>
        </xdr:cNvPr>
        <xdr:cNvSpPr/>
      </xdr:nvSpPr>
      <xdr:spPr>
        <a:xfrm>
          <a:off x="20955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38100</xdr:colOff>
      <xdr:row>2</xdr:row>
      <xdr:rowOff>57150</xdr:rowOff>
    </xdr:from>
    <xdr:to>
      <xdr:col>3</xdr:col>
      <xdr:colOff>104775</xdr:colOff>
      <xdr:row>2</xdr:row>
      <xdr:rowOff>152400</xdr:rowOff>
    </xdr:to>
    <xdr:sp macro="" textlink="">
      <xdr:nvSpPr>
        <xdr:cNvPr id="173" name="Diagrama de flujo: conector 172">
          <a:extLst>
            <a:ext uri="{FF2B5EF4-FFF2-40B4-BE49-F238E27FC236}">
              <a16:creationId xmlns:a16="http://schemas.microsoft.com/office/drawing/2014/main" id="{484A1359-0FC7-43F2-AD66-B8E9F3DB8982}"/>
            </a:ext>
          </a:extLst>
        </xdr:cNvPr>
        <xdr:cNvSpPr/>
      </xdr:nvSpPr>
      <xdr:spPr>
        <a:xfrm>
          <a:off x="20955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38100</xdr:colOff>
      <xdr:row>3</xdr:row>
      <xdr:rowOff>57150</xdr:rowOff>
    </xdr:from>
    <xdr:to>
      <xdr:col>3</xdr:col>
      <xdr:colOff>104775</xdr:colOff>
      <xdr:row>3</xdr:row>
      <xdr:rowOff>152400</xdr:rowOff>
    </xdr:to>
    <xdr:sp macro="" textlink="">
      <xdr:nvSpPr>
        <xdr:cNvPr id="174" name="Diagrama de flujo: conector 173">
          <a:extLst>
            <a:ext uri="{FF2B5EF4-FFF2-40B4-BE49-F238E27FC236}">
              <a16:creationId xmlns:a16="http://schemas.microsoft.com/office/drawing/2014/main" id="{A6148B3E-CC3A-4354-912F-959A7F9B09B0}"/>
            </a:ext>
          </a:extLst>
        </xdr:cNvPr>
        <xdr:cNvSpPr/>
      </xdr:nvSpPr>
      <xdr:spPr>
        <a:xfrm>
          <a:off x="20955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38100</xdr:colOff>
      <xdr:row>4</xdr:row>
      <xdr:rowOff>57150</xdr:rowOff>
    </xdr:from>
    <xdr:to>
      <xdr:col>3</xdr:col>
      <xdr:colOff>104775</xdr:colOff>
      <xdr:row>4</xdr:row>
      <xdr:rowOff>152400</xdr:rowOff>
    </xdr:to>
    <xdr:sp macro="" textlink="">
      <xdr:nvSpPr>
        <xdr:cNvPr id="175" name="Diagrama de flujo: conector 174">
          <a:extLst>
            <a:ext uri="{FF2B5EF4-FFF2-40B4-BE49-F238E27FC236}">
              <a16:creationId xmlns:a16="http://schemas.microsoft.com/office/drawing/2014/main" id="{92D7BFF5-A0C6-4960-A1FA-2E981E02A254}"/>
            </a:ext>
          </a:extLst>
        </xdr:cNvPr>
        <xdr:cNvSpPr/>
      </xdr:nvSpPr>
      <xdr:spPr>
        <a:xfrm>
          <a:off x="20955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38100</xdr:colOff>
      <xdr:row>5</xdr:row>
      <xdr:rowOff>57150</xdr:rowOff>
    </xdr:from>
    <xdr:to>
      <xdr:col>3</xdr:col>
      <xdr:colOff>104775</xdr:colOff>
      <xdr:row>5</xdr:row>
      <xdr:rowOff>152400</xdr:rowOff>
    </xdr:to>
    <xdr:sp macro="" textlink="">
      <xdr:nvSpPr>
        <xdr:cNvPr id="176" name="Diagrama de flujo: conector 175">
          <a:extLst>
            <a:ext uri="{FF2B5EF4-FFF2-40B4-BE49-F238E27FC236}">
              <a16:creationId xmlns:a16="http://schemas.microsoft.com/office/drawing/2014/main" id="{7623C53B-3152-4896-BF18-AF769DE8FA72}"/>
            </a:ext>
          </a:extLst>
        </xdr:cNvPr>
        <xdr:cNvSpPr/>
      </xdr:nvSpPr>
      <xdr:spPr>
        <a:xfrm>
          <a:off x="20955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38100</xdr:colOff>
      <xdr:row>6</xdr:row>
      <xdr:rowOff>47625</xdr:rowOff>
    </xdr:from>
    <xdr:to>
      <xdr:col>3</xdr:col>
      <xdr:colOff>104775</xdr:colOff>
      <xdr:row>6</xdr:row>
      <xdr:rowOff>142875</xdr:rowOff>
    </xdr:to>
    <xdr:sp macro="" textlink="">
      <xdr:nvSpPr>
        <xdr:cNvPr id="177" name="Diagrama de flujo: conector 176">
          <a:extLst>
            <a:ext uri="{FF2B5EF4-FFF2-40B4-BE49-F238E27FC236}">
              <a16:creationId xmlns:a16="http://schemas.microsoft.com/office/drawing/2014/main" id="{C950B3B0-52A8-47E6-8988-90F672BF80D6}"/>
            </a:ext>
          </a:extLst>
        </xdr:cNvPr>
        <xdr:cNvSpPr/>
      </xdr:nvSpPr>
      <xdr:spPr>
        <a:xfrm>
          <a:off x="209550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38100</xdr:colOff>
      <xdr:row>7</xdr:row>
      <xdr:rowOff>47625</xdr:rowOff>
    </xdr:from>
    <xdr:to>
      <xdr:col>3</xdr:col>
      <xdr:colOff>104775</xdr:colOff>
      <xdr:row>7</xdr:row>
      <xdr:rowOff>142875</xdr:rowOff>
    </xdr:to>
    <xdr:sp macro="" textlink="">
      <xdr:nvSpPr>
        <xdr:cNvPr id="178" name="Diagrama de flujo: conector 177">
          <a:extLst>
            <a:ext uri="{FF2B5EF4-FFF2-40B4-BE49-F238E27FC236}">
              <a16:creationId xmlns:a16="http://schemas.microsoft.com/office/drawing/2014/main" id="{1609721C-C30A-4342-924F-02495914EFE4}"/>
            </a:ext>
          </a:extLst>
        </xdr:cNvPr>
        <xdr:cNvSpPr/>
      </xdr:nvSpPr>
      <xdr:spPr>
        <a:xfrm>
          <a:off x="20955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38100</xdr:colOff>
      <xdr:row>8</xdr:row>
      <xdr:rowOff>57150</xdr:rowOff>
    </xdr:from>
    <xdr:to>
      <xdr:col>3</xdr:col>
      <xdr:colOff>104775</xdr:colOff>
      <xdr:row>8</xdr:row>
      <xdr:rowOff>152400</xdr:rowOff>
    </xdr:to>
    <xdr:sp macro="" textlink="">
      <xdr:nvSpPr>
        <xdr:cNvPr id="179" name="Diagrama de flujo: conector 178">
          <a:extLst>
            <a:ext uri="{FF2B5EF4-FFF2-40B4-BE49-F238E27FC236}">
              <a16:creationId xmlns:a16="http://schemas.microsoft.com/office/drawing/2014/main" id="{F231CB3E-8DB1-4DA4-B92C-7B217651BBC3}"/>
            </a:ext>
          </a:extLst>
        </xdr:cNvPr>
        <xdr:cNvSpPr/>
      </xdr:nvSpPr>
      <xdr:spPr>
        <a:xfrm>
          <a:off x="20955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38100</xdr:colOff>
      <xdr:row>9</xdr:row>
      <xdr:rowOff>57150</xdr:rowOff>
    </xdr:from>
    <xdr:to>
      <xdr:col>3</xdr:col>
      <xdr:colOff>104775</xdr:colOff>
      <xdr:row>9</xdr:row>
      <xdr:rowOff>152400</xdr:rowOff>
    </xdr:to>
    <xdr:sp macro="" textlink="">
      <xdr:nvSpPr>
        <xdr:cNvPr id="180" name="Diagrama de flujo: conector 179">
          <a:extLst>
            <a:ext uri="{FF2B5EF4-FFF2-40B4-BE49-F238E27FC236}">
              <a16:creationId xmlns:a16="http://schemas.microsoft.com/office/drawing/2014/main" id="{08006877-377B-4C5C-9942-37BF927AEB45}"/>
            </a:ext>
          </a:extLst>
        </xdr:cNvPr>
        <xdr:cNvSpPr/>
      </xdr:nvSpPr>
      <xdr:spPr>
        <a:xfrm>
          <a:off x="20955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38100</xdr:colOff>
      <xdr:row>10</xdr:row>
      <xdr:rowOff>47625</xdr:rowOff>
    </xdr:from>
    <xdr:to>
      <xdr:col>3</xdr:col>
      <xdr:colOff>104775</xdr:colOff>
      <xdr:row>10</xdr:row>
      <xdr:rowOff>142875</xdr:rowOff>
    </xdr:to>
    <xdr:sp macro="" textlink="">
      <xdr:nvSpPr>
        <xdr:cNvPr id="181" name="Diagrama de flujo: conector 180">
          <a:extLst>
            <a:ext uri="{FF2B5EF4-FFF2-40B4-BE49-F238E27FC236}">
              <a16:creationId xmlns:a16="http://schemas.microsoft.com/office/drawing/2014/main" id="{4F537534-C1B9-47CF-BBD9-1C7D9E9F82AB}"/>
            </a:ext>
          </a:extLst>
        </xdr:cNvPr>
        <xdr:cNvSpPr/>
      </xdr:nvSpPr>
      <xdr:spPr>
        <a:xfrm>
          <a:off x="209550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38100</xdr:colOff>
      <xdr:row>12</xdr:row>
      <xdr:rowOff>47625</xdr:rowOff>
    </xdr:from>
    <xdr:to>
      <xdr:col>3</xdr:col>
      <xdr:colOff>104775</xdr:colOff>
      <xdr:row>12</xdr:row>
      <xdr:rowOff>142875</xdr:rowOff>
    </xdr:to>
    <xdr:sp macro="" textlink="">
      <xdr:nvSpPr>
        <xdr:cNvPr id="182" name="Diagrama de flujo: conector 181">
          <a:extLst>
            <a:ext uri="{FF2B5EF4-FFF2-40B4-BE49-F238E27FC236}">
              <a16:creationId xmlns:a16="http://schemas.microsoft.com/office/drawing/2014/main" id="{EE583B0B-4DA4-4722-8C5F-C6973E684B16}"/>
            </a:ext>
          </a:extLst>
        </xdr:cNvPr>
        <xdr:cNvSpPr/>
      </xdr:nvSpPr>
      <xdr:spPr>
        <a:xfrm>
          <a:off x="20955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38100</xdr:colOff>
      <xdr:row>2</xdr:row>
      <xdr:rowOff>57150</xdr:rowOff>
    </xdr:from>
    <xdr:to>
      <xdr:col>16</xdr:col>
      <xdr:colOff>104775</xdr:colOff>
      <xdr:row>2</xdr:row>
      <xdr:rowOff>152400</xdr:rowOff>
    </xdr:to>
    <xdr:sp macro="" textlink="">
      <xdr:nvSpPr>
        <xdr:cNvPr id="183" name="Diagrama de flujo: conector 182">
          <a:extLst>
            <a:ext uri="{FF2B5EF4-FFF2-40B4-BE49-F238E27FC236}">
              <a16:creationId xmlns:a16="http://schemas.microsoft.com/office/drawing/2014/main" id="{4734293D-D82B-4CAC-ABE6-1731AF1F8E28}"/>
            </a:ext>
          </a:extLst>
        </xdr:cNvPr>
        <xdr:cNvSpPr/>
      </xdr:nvSpPr>
      <xdr:spPr>
        <a:xfrm>
          <a:off x="20955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38100</xdr:colOff>
      <xdr:row>3</xdr:row>
      <xdr:rowOff>57150</xdr:rowOff>
    </xdr:from>
    <xdr:to>
      <xdr:col>16</xdr:col>
      <xdr:colOff>104775</xdr:colOff>
      <xdr:row>3</xdr:row>
      <xdr:rowOff>152400</xdr:rowOff>
    </xdr:to>
    <xdr:sp macro="" textlink="">
      <xdr:nvSpPr>
        <xdr:cNvPr id="184" name="Diagrama de flujo: conector 183">
          <a:extLst>
            <a:ext uri="{FF2B5EF4-FFF2-40B4-BE49-F238E27FC236}">
              <a16:creationId xmlns:a16="http://schemas.microsoft.com/office/drawing/2014/main" id="{5FF44AA1-381E-4C91-8257-7F5BBAEB9F81}"/>
            </a:ext>
          </a:extLst>
        </xdr:cNvPr>
        <xdr:cNvSpPr/>
      </xdr:nvSpPr>
      <xdr:spPr>
        <a:xfrm>
          <a:off x="20955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38100</xdr:colOff>
      <xdr:row>4</xdr:row>
      <xdr:rowOff>57150</xdr:rowOff>
    </xdr:from>
    <xdr:to>
      <xdr:col>16</xdr:col>
      <xdr:colOff>104775</xdr:colOff>
      <xdr:row>4</xdr:row>
      <xdr:rowOff>152400</xdr:rowOff>
    </xdr:to>
    <xdr:sp macro="" textlink="">
      <xdr:nvSpPr>
        <xdr:cNvPr id="185" name="Diagrama de flujo: conector 184">
          <a:extLst>
            <a:ext uri="{FF2B5EF4-FFF2-40B4-BE49-F238E27FC236}">
              <a16:creationId xmlns:a16="http://schemas.microsoft.com/office/drawing/2014/main" id="{84FD34C8-E10A-48F7-B8B6-D69001C3BEEC}"/>
            </a:ext>
          </a:extLst>
        </xdr:cNvPr>
        <xdr:cNvSpPr/>
      </xdr:nvSpPr>
      <xdr:spPr>
        <a:xfrm>
          <a:off x="20955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38100</xdr:colOff>
      <xdr:row>5</xdr:row>
      <xdr:rowOff>57150</xdr:rowOff>
    </xdr:from>
    <xdr:to>
      <xdr:col>16</xdr:col>
      <xdr:colOff>104775</xdr:colOff>
      <xdr:row>5</xdr:row>
      <xdr:rowOff>152400</xdr:rowOff>
    </xdr:to>
    <xdr:sp macro="" textlink="">
      <xdr:nvSpPr>
        <xdr:cNvPr id="186" name="Diagrama de flujo: conector 185">
          <a:extLst>
            <a:ext uri="{FF2B5EF4-FFF2-40B4-BE49-F238E27FC236}">
              <a16:creationId xmlns:a16="http://schemas.microsoft.com/office/drawing/2014/main" id="{C8327374-32C2-47BA-838A-CC20B58DD1C9}"/>
            </a:ext>
          </a:extLst>
        </xdr:cNvPr>
        <xdr:cNvSpPr/>
      </xdr:nvSpPr>
      <xdr:spPr>
        <a:xfrm>
          <a:off x="20955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38100</xdr:colOff>
      <xdr:row>6</xdr:row>
      <xdr:rowOff>47625</xdr:rowOff>
    </xdr:from>
    <xdr:to>
      <xdr:col>16</xdr:col>
      <xdr:colOff>104775</xdr:colOff>
      <xdr:row>6</xdr:row>
      <xdr:rowOff>142875</xdr:rowOff>
    </xdr:to>
    <xdr:sp macro="" textlink="">
      <xdr:nvSpPr>
        <xdr:cNvPr id="187" name="Diagrama de flujo: conector 186">
          <a:extLst>
            <a:ext uri="{FF2B5EF4-FFF2-40B4-BE49-F238E27FC236}">
              <a16:creationId xmlns:a16="http://schemas.microsoft.com/office/drawing/2014/main" id="{5DE92AD7-2F4F-4FEA-8083-1DD6C1061310}"/>
            </a:ext>
          </a:extLst>
        </xdr:cNvPr>
        <xdr:cNvSpPr/>
      </xdr:nvSpPr>
      <xdr:spPr>
        <a:xfrm>
          <a:off x="209550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38100</xdr:colOff>
      <xdr:row>7</xdr:row>
      <xdr:rowOff>47625</xdr:rowOff>
    </xdr:from>
    <xdr:to>
      <xdr:col>16</xdr:col>
      <xdr:colOff>104775</xdr:colOff>
      <xdr:row>7</xdr:row>
      <xdr:rowOff>142875</xdr:rowOff>
    </xdr:to>
    <xdr:sp macro="" textlink="">
      <xdr:nvSpPr>
        <xdr:cNvPr id="188" name="Diagrama de flujo: conector 187">
          <a:extLst>
            <a:ext uri="{FF2B5EF4-FFF2-40B4-BE49-F238E27FC236}">
              <a16:creationId xmlns:a16="http://schemas.microsoft.com/office/drawing/2014/main" id="{2E7A169D-648A-42DB-8C78-9A22C57989F1}"/>
            </a:ext>
          </a:extLst>
        </xdr:cNvPr>
        <xdr:cNvSpPr/>
      </xdr:nvSpPr>
      <xdr:spPr>
        <a:xfrm>
          <a:off x="20955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38100</xdr:colOff>
      <xdr:row>8</xdr:row>
      <xdr:rowOff>57150</xdr:rowOff>
    </xdr:from>
    <xdr:to>
      <xdr:col>16</xdr:col>
      <xdr:colOff>104775</xdr:colOff>
      <xdr:row>8</xdr:row>
      <xdr:rowOff>152400</xdr:rowOff>
    </xdr:to>
    <xdr:sp macro="" textlink="">
      <xdr:nvSpPr>
        <xdr:cNvPr id="189" name="Diagrama de flujo: conector 188">
          <a:extLst>
            <a:ext uri="{FF2B5EF4-FFF2-40B4-BE49-F238E27FC236}">
              <a16:creationId xmlns:a16="http://schemas.microsoft.com/office/drawing/2014/main" id="{C7690D96-1BF4-4BB7-9E27-73412B5363CE}"/>
            </a:ext>
          </a:extLst>
        </xdr:cNvPr>
        <xdr:cNvSpPr/>
      </xdr:nvSpPr>
      <xdr:spPr>
        <a:xfrm>
          <a:off x="20955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38100</xdr:colOff>
      <xdr:row>9</xdr:row>
      <xdr:rowOff>57150</xdr:rowOff>
    </xdr:from>
    <xdr:to>
      <xdr:col>16</xdr:col>
      <xdr:colOff>104775</xdr:colOff>
      <xdr:row>9</xdr:row>
      <xdr:rowOff>152400</xdr:rowOff>
    </xdr:to>
    <xdr:sp macro="" textlink="">
      <xdr:nvSpPr>
        <xdr:cNvPr id="190" name="Diagrama de flujo: conector 189">
          <a:extLst>
            <a:ext uri="{FF2B5EF4-FFF2-40B4-BE49-F238E27FC236}">
              <a16:creationId xmlns:a16="http://schemas.microsoft.com/office/drawing/2014/main" id="{30243F3D-DBCC-469D-8E84-7A7E3937CA81}"/>
            </a:ext>
          </a:extLst>
        </xdr:cNvPr>
        <xdr:cNvSpPr/>
      </xdr:nvSpPr>
      <xdr:spPr>
        <a:xfrm>
          <a:off x="20955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38100</xdr:colOff>
      <xdr:row>10</xdr:row>
      <xdr:rowOff>47625</xdr:rowOff>
    </xdr:from>
    <xdr:to>
      <xdr:col>16</xdr:col>
      <xdr:colOff>104775</xdr:colOff>
      <xdr:row>10</xdr:row>
      <xdr:rowOff>142875</xdr:rowOff>
    </xdr:to>
    <xdr:sp macro="" textlink="">
      <xdr:nvSpPr>
        <xdr:cNvPr id="191" name="Diagrama de flujo: conector 190">
          <a:extLst>
            <a:ext uri="{FF2B5EF4-FFF2-40B4-BE49-F238E27FC236}">
              <a16:creationId xmlns:a16="http://schemas.microsoft.com/office/drawing/2014/main" id="{BAB104EA-6ADA-4FA2-BA17-EAC02055D7C7}"/>
            </a:ext>
          </a:extLst>
        </xdr:cNvPr>
        <xdr:cNvSpPr/>
      </xdr:nvSpPr>
      <xdr:spPr>
        <a:xfrm>
          <a:off x="209550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38100</xdr:colOff>
      <xdr:row>12</xdr:row>
      <xdr:rowOff>47625</xdr:rowOff>
    </xdr:from>
    <xdr:to>
      <xdr:col>16</xdr:col>
      <xdr:colOff>104775</xdr:colOff>
      <xdr:row>12</xdr:row>
      <xdr:rowOff>142875</xdr:rowOff>
    </xdr:to>
    <xdr:sp macro="" textlink="">
      <xdr:nvSpPr>
        <xdr:cNvPr id="192" name="Diagrama de flujo: conector 191">
          <a:extLst>
            <a:ext uri="{FF2B5EF4-FFF2-40B4-BE49-F238E27FC236}">
              <a16:creationId xmlns:a16="http://schemas.microsoft.com/office/drawing/2014/main" id="{54F1D427-2533-4E6C-B0A7-BD1426BC272E}"/>
            </a:ext>
          </a:extLst>
        </xdr:cNvPr>
        <xdr:cNvSpPr/>
      </xdr:nvSpPr>
      <xdr:spPr>
        <a:xfrm>
          <a:off x="20955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38100</xdr:colOff>
      <xdr:row>2</xdr:row>
      <xdr:rowOff>57150</xdr:rowOff>
    </xdr:from>
    <xdr:to>
      <xdr:col>17</xdr:col>
      <xdr:colOff>104775</xdr:colOff>
      <xdr:row>2</xdr:row>
      <xdr:rowOff>152400</xdr:rowOff>
    </xdr:to>
    <xdr:sp macro="" textlink="">
      <xdr:nvSpPr>
        <xdr:cNvPr id="193" name="Diagrama de flujo: conector 192">
          <a:extLst>
            <a:ext uri="{FF2B5EF4-FFF2-40B4-BE49-F238E27FC236}">
              <a16:creationId xmlns:a16="http://schemas.microsoft.com/office/drawing/2014/main" id="{918F7E23-3B4A-43ED-9464-D3D7AB6A674D}"/>
            </a:ext>
          </a:extLst>
        </xdr:cNvPr>
        <xdr:cNvSpPr/>
      </xdr:nvSpPr>
      <xdr:spPr>
        <a:xfrm>
          <a:off x="22288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38100</xdr:colOff>
      <xdr:row>3</xdr:row>
      <xdr:rowOff>57150</xdr:rowOff>
    </xdr:from>
    <xdr:to>
      <xdr:col>17</xdr:col>
      <xdr:colOff>104775</xdr:colOff>
      <xdr:row>3</xdr:row>
      <xdr:rowOff>152400</xdr:rowOff>
    </xdr:to>
    <xdr:sp macro="" textlink="">
      <xdr:nvSpPr>
        <xdr:cNvPr id="194" name="Diagrama de flujo: conector 193">
          <a:extLst>
            <a:ext uri="{FF2B5EF4-FFF2-40B4-BE49-F238E27FC236}">
              <a16:creationId xmlns:a16="http://schemas.microsoft.com/office/drawing/2014/main" id="{368391B4-710D-4543-AF0D-02958294EC0F}"/>
            </a:ext>
          </a:extLst>
        </xdr:cNvPr>
        <xdr:cNvSpPr/>
      </xdr:nvSpPr>
      <xdr:spPr>
        <a:xfrm>
          <a:off x="22288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38100</xdr:colOff>
      <xdr:row>4</xdr:row>
      <xdr:rowOff>57150</xdr:rowOff>
    </xdr:from>
    <xdr:to>
      <xdr:col>17</xdr:col>
      <xdr:colOff>104775</xdr:colOff>
      <xdr:row>4</xdr:row>
      <xdr:rowOff>152400</xdr:rowOff>
    </xdr:to>
    <xdr:sp macro="" textlink="">
      <xdr:nvSpPr>
        <xdr:cNvPr id="195" name="Diagrama de flujo: conector 194">
          <a:extLst>
            <a:ext uri="{FF2B5EF4-FFF2-40B4-BE49-F238E27FC236}">
              <a16:creationId xmlns:a16="http://schemas.microsoft.com/office/drawing/2014/main" id="{9A027ACF-B542-42C4-8938-30846015ADE3}"/>
            </a:ext>
          </a:extLst>
        </xdr:cNvPr>
        <xdr:cNvSpPr/>
      </xdr:nvSpPr>
      <xdr:spPr>
        <a:xfrm>
          <a:off x="22288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38100</xdr:colOff>
      <xdr:row>5</xdr:row>
      <xdr:rowOff>57150</xdr:rowOff>
    </xdr:from>
    <xdr:to>
      <xdr:col>17</xdr:col>
      <xdr:colOff>104775</xdr:colOff>
      <xdr:row>5</xdr:row>
      <xdr:rowOff>152400</xdr:rowOff>
    </xdr:to>
    <xdr:sp macro="" textlink="">
      <xdr:nvSpPr>
        <xdr:cNvPr id="196" name="Diagrama de flujo: conector 195">
          <a:extLst>
            <a:ext uri="{FF2B5EF4-FFF2-40B4-BE49-F238E27FC236}">
              <a16:creationId xmlns:a16="http://schemas.microsoft.com/office/drawing/2014/main" id="{D00D42B5-305B-4390-994F-EC50FF0A8D29}"/>
            </a:ext>
          </a:extLst>
        </xdr:cNvPr>
        <xdr:cNvSpPr/>
      </xdr:nvSpPr>
      <xdr:spPr>
        <a:xfrm>
          <a:off x="22288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38100</xdr:colOff>
      <xdr:row>6</xdr:row>
      <xdr:rowOff>47625</xdr:rowOff>
    </xdr:from>
    <xdr:to>
      <xdr:col>17</xdr:col>
      <xdr:colOff>104775</xdr:colOff>
      <xdr:row>6</xdr:row>
      <xdr:rowOff>142875</xdr:rowOff>
    </xdr:to>
    <xdr:sp macro="" textlink="">
      <xdr:nvSpPr>
        <xdr:cNvPr id="197" name="Diagrama de flujo: conector 196">
          <a:extLst>
            <a:ext uri="{FF2B5EF4-FFF2-40B4-BE49-F238E27FC236}">
              <a16:creationId xmlns:a16="http://schemas.microsoft.com/office/drawing/2014/main" id="{5ED677A6-5AD3-4C10-8033-6BC457089880}"/>
            </a:ext>
          </a:extLst>
        </xdr:cNvPr>
        <xdr:cNvSpPr/>
      </xdr:nvSpPr>
      <xdr:spPr>
        <a:xfrm>
          <a:off x="222885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38100</xdr:colOff>
      <xdr:row>7</xdr:row>
      <xdr:rowOff>47625</xdr:rowOff>
    </xdr:from>
    <xdr:to>
      <xdr:col>17</xdr:col>
      <xdr:colOff>104775</xdr:colOff>
      <xdr:row>7</xdr:row>
      <xdr:rowOff>142875</xdr:rowOff>
    </xdr:to>
    <xdr:sp macro="" textlink="">
      <xdr:nvSpPr>
        <xdr:cNvPr id="198" name="Diagrama de flujo: conector 197">
          <a:extLst>
            <a:ext uri="{FF2B5EF4-FFF2-40B4-BE49-F238E27FC236}">
              <a16:creationId xmlns:a16="http://schemas.microsoft.com/office/drawing/2014/main" id="{5E3B373B-FB7E-4362-B73C-738680B91EEC}"/>
            </a:ext>
          </a:extLst>
        </xdr:cNvPr>
        <xdr:cNvSpPr/>
      </xdr:nvSpPr>
      <xdr:spPr>
        <a:xfrm>
          <a:off x="22288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38100</xdr:colOff>
      <xdr:row>8</xdr:row>
      <xdr:rowOff>57150</xdr:rowOff>
    </xdr:from>
    <xdr:to>
      <xdr:col>17</xdr:col>
      <xdr:colOff>104775</xdr:colOff>
      <xdr:row>8</xdr:row>
      <xdr:rowOff>152400</xdr:rowOff>
    </xdr:to>
    <xdr:sp macro="" textlink="">
      <xdr:nvSpPr>
        <xdr:cNvPr id="199" name="Diagrama de flujo: conector 198">
          <a:extLst>
            <a:ext uri="{FF2B5EF4-FFF2-40B4-BE49-F238E27FC236}">
              <a16:creationId xmlns:a16="http://schemas.microsoft.com/office/drawing/2014/main" id="{848416CD-B147-41F4-800E-FD8E0C5D9077}"/>
            </a:ext>
          </a:extLst>
        </xdr:cNvPr>
        <xdr:cNvSpPr/>
      </xdr:nvSpPr>
      <xdr:spPr>
        <a:xfrm>
          <a:off x="22288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38100</xdr:colOff>
      <xdr:row>9</xdr:row>
      <xdr:rowOff>57150</xdr:rowOff>
    </xdr:from>
    <xdr:to>
      <xdr:col>17</xdr:col>
      <xdr:colOff>104775</xdr:colOff>
      <xdr:row>9</xdr:row>
      <xdr:rowOff>152400</xdr:rowOff>
    </xdr:to>
    <xdr:sp macro="" textlink="">
      <xdr:nvSpPr>
        <xdr:cNvPr id="200" name="Diagrama de flujo: conector 199">
          <a:extLst>
            <a:ext uri="{FF2B5EF4-FFF2-40B4-BE49-F238E27FC236}">
              <a16:creationId xmlns:a16="http://schemas.microsoft.com/office/drawing/2014/main" id="{DADFEAFF-0383-4AFC-8213-B6250144BA58}"/>
            </a:ext>
          </a:extLst>
        </xdr:cNvPr>
        <xdr:cNvSpPr/>
      </xdr:nvSpPr>
      <xdr:spPr>
        <a:xfrm>
          <a:off x="22288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38100</xdr:colOff>
      <xdr:row>10</xdr:row>
      <xdr:rowOff>47625</xdr:rowOff>
    </xdr:from>
    <xdr:to>
      <xdr:col>17</xdr:col>
      <xdr:colOff>104775</xdr:colOff>
      <xdr:row>10</xdr:row>
      <xdr:rowOff>142875</xdr:rowOff>
    </xdr:to>
    <xdr:sp macro="" textlink="">
      <xdr:nvSpPr>
        <xdr:cNvPr id="201" name="Diagrama de flujo: conector 200">
          <a:extLst>
            <a:ext uri="{FF2B5EF4-FFF2-40B4-BE49-F238E27FC236}">
              <a16:creationId xmlns:a16="http://schemas.microsoft.com/office/drawing/2014/main" id="{DE622D56-E51E-43AF-B716-B802B866BA1C}"/>
            </a:ext>
          </a:extLst>
        </xdr:cNvPr>
        <xdr:cNvSpPr/>
      </xdr:nvSpPr>
      <xdr:spPr>
        <a:xfrm>
          <a:off x="222885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38100</xdr:colOff>
      <xdr:row>12</xdr:row>
      <xdr:rowOff>47625</xdr:rowOff>
    </xdr:from>
    <xdr:to>
      <xdr:col>17</xdr:col>
      <xdr:colOff>104775</xdr:colOff>
      <xdr:row>12</xdr:row>
      <xdr:rowOff>142875</xdr:rowOff>
    </xdr:to>
    <xdr:sp macro="" textlink="">
      <xdr:nvSpPr>
        <xdr:cNvPr id="202" name="Diagrama de flujo: conector 201">
          <a:extLst>
            <a:ext uri="{FF2B5EF4-FFF2-40B4-BE49-F238E27FC236}">
              <a16:creationId xmlns:a16="http://schemas.microsoft.com/office/drawing/2014/main" id="{03921CB0-A4BD-4EF1-A5CA-108B437680AB}"/>
            </a:ext>
          </a:extLst>
        </xdr:cNvPr>
        <xdr:cNvSpPr/>
      </xdr:nvSpPr>
      <xdr:spPr>
        <a:xfrm>
          <a:off x="22288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38100</xdr:colOff>
      <xdr:row>2</xdr:row>
      <xdr:rowOff>57150</xdr:rowOff>
    </xdr:from>
    <xdr:to>
      <xdr:col>18</xdr:col>
      <xdr:colOff>104775</xdr:colOff>
      <xdr:row>2</xdr:row>
      <xdr:rowOff>152400</xdr:rowOff>
    </xdr:to>
    <xdr:sp macro="" textlink="">
      <xdr:nvSpPr>
        <xdr:cNvPr id="203" name="Diagrama de flujo: conector 202">
          <a:extLst>
            <a:ext uri="{FF2B5EF4-FFF2-40B4-BE49-F238E27FC236}">
              <a16:creationId xmlns:a16="http://schemas.microsoft.com/office/drawing/2014/main" id="{8B42D0A0-6EA9-49D7-A6D5-CCBE928D85D9}"/>
            </a:ext>
          </a:extLst>
        </xdr:cNvPr>
        <xdr:cNvSpPr/>
      </xdr:nvSpPr>
      <xdr:spPr>
        <a:xfrm>
          <a:off x="23622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38100</xdr:colOff>
      <xdr:row>3</xdr:row>
      <xdr:rowOff>57150</xdr:rowOff>
    </xdr:from>
    <xdr:to>
      <xdr:col>18</xdr:col>
      <xdr:colOff>104775</xdr:colOff>
      <xdr:row>3</xdr:row>
      <xdr:rowOff>152400</xdr:rowOff>
    </xdr:to>
    <xdr:sp macro="" textlink="">
      <xdr:nvSpPr>
        <xdr:cNvPr id="204" name="Diagrama de flujo: conector 203">
          <a:extLst>
            <a:ext uri="{FF2B5EF4-FFF2-40B4-BE49-F238E27FC236}">
              <a16:creationId xmlns:a16="http://schemas.microsoft.com/office/drawing/2014/main" id="{6BF5E491-2617-4758-95BC-04901820CE7A}"/>
            </a:ext>
          </a:extLst>
        </xdr:cNvPr>
        <xdr:cNvSpPr/>
      </xdr:nvSpPr>
      <xdr:spPr>
        <a:xfrm>
          <a:off x="23622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38100</xdr:colOff>
      <xdr:row>4</xdr:row>
      <xdr:rowOff>57150</xdr:rowOff>
    </xdr:from>
    <xdr:to>
      <xdr:col>18</xdr:col>
      <xdr:colOff>104775</xdr:colOff>
      <xdr:row>4</xdr:row>
      <xdr:rowOff>152400</xdr:rowOff>
    </xdr:to>
    <xdr:sp macro="" textlink="">
      <xdr:nvSpPr>
        <xdr:cNvPr id="205" name="Diagrama de flujo: conector 204">
          <a:extLst>
            <a:ext uri="{FF2B5EF4-FFF2-40B4-BE49-F238E27FC236}">
              <a16:creationId xmlns:a16="http://schemas.microsoft.com/office/drawing/2014/main" id="{47BFD0F5-4F78-449F-BC38-7C535F2F52EC}"/>
            </a:ext>
          </a:extLst>
        </xdr:cNvPr>
        <xdr:cNvSpPr/>
      </xdr:nvSpPr>
      <xdr:spPr>
        <a:xfrm>
          <a:off x="23622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38100</xdr:colOff>
      <xdr:row>5</xdr:row>
      <xdr:rowOff>57150</xdr:rowOff>
    </xdr:from>
    <xdr:to>
      <xdr:col>18</xdr:col>
      <xdr:colOff>104775</xdr:colOff>
      <xdr:row>5</xdr:row>
      <xdr:rowOff>152400</xdr:rowOff>
    </xdr:to>
    <xdr:sp macro="" textlink="">
      <xdr:nvSpPr>
        <xdr:cNvPr id="206" name="Diagrama de flujo: conector 205">
          <a:extLst>
            <a:ext uri="{FF2B5EF4-FFF2-40B4-BE49-F238E27FC236}">
              <a16:creationId xmlns:a16="http://schemas.microsoft.com/office/drawing/2014/main" id="{2B39DBF2-0CB7-4268-8DE7-1BCA19958CDF}"/>
            </a:ext>
          </a:extLst>
        </xdr:cNvPr>
        <xdr:cNvSpPr/>
      </xdr:nvSpPr>
      <xdr:spPr>
        <a:xfrm>
          <a:off x="23622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38100</xdr:colOff>
      <xdr:row>6</xdr:row>
      <xdr:rowOff>47625</xdr:rowOff>
    </xdr:from>
    <xdr:to>
      <xdr:col>18</xdr:col>
      <xdr:colOff>104775</xdr:colOff>
      <xdr:row>6</xdr:row>
      <xdr:rowOff>142875</xdr:rowOff>
    </xdr:to>
    <xdr:sp macro="" textlink="">
      <xdr:nvSpPr>
        <xdr:cNvPr id="207" name="Diagrama de flujo: conector 206">
          <a:extLst>
            <a:ext uri="{FF2B5EF4-FFF2-40B4-BE49-F238E27FC236}">
              <a16:creationId xmlns:a16="http://schemas.microsoft.com/office/drawing/2014/main" id="{C23075A7-1BAA-45CE-8735-86E26B8209E7}"/>
            </a:ext>
          </a:extLst>
        </xdr:cNvPr>
        <xdr:cNvSpPr/>
      </xdr:nvSpPr>
      <xdr:spPr>
        <a:xfrm>
          <a:off x="236220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38100</xdr:colOff>
      <xdr:row>7</xdr:row>
      <xdr:rowOff>47625</xdr:rowOff>
    </xdr:from>
    <xdr:to>
      <xdr:col>18</xdr:col>
      <xdr:colOff>104775</xdr:colOff>
      <xdr:row>7</xdr:row>
      <xdr:rowOff>142875</xdr:rowOff>
    </xdr:to>
    <xdr:sp macro="" textlink="">
      <xdr:nvSpPr>
        <xdr:cNvPr id="208" name="Diagrama de flujo: conector 207">
          <a:extLst>
            <a:ext uri="{FF2B5EF4-FFF2-40B4-BE49-F238E27FC236}">
              <a16:creationId xmlns:a16="http://schemas.microsoft.com/office/drawing/2014/main" id="{F0E90604-16C3-437A-8407-35E4BCF976B1}"/>
            </a:ext>
          </a:extLst>
        </xdr:cNvPr>
        <xdr:cNvSpPr/>
      </xdr:nvSpPr>
      <xdr:spPr>
        <a:xfrm>
          <a:off x="23622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38100</xdr:colOff>
      <xdr:row>8</xdr:row>
      <xdr:rowOff>57150</xdr:rowOff>
    </xdr:from>
    <xdr:to>
      <xdr:col>18</xdr:col>
      <xdr:colOff>104775</xdr:colOff>
      <xdr:row>8</xdr:row>
      <xdr:rowOff>152400</xdr:rowOff>
    </xdr:to>
    <xdr:sp macro="" textlink="">
      <xdr:nvSpPr>
        <xdr:cNvPr id="209" name="Diagrama de flujo: conector 208">
          <a:extLst>
            <a:ext uri="{FF2B5EF4-FFF2-40B4-BE49-F238E27FC236}">
              <a16:creationId xmlns:a16="http://schemas.microsoft.com/office/drawing/2014/main" id="{769DBB72-C1C3-4834-89C1-40CBBA6AC374}"/>
            </a:ext>
          </a:extLst>
        </xdr:cNvPr>
        <xdr:cNvSpPr/>
      </xdr:nvSpPr>
      <xdr:spPr>
        <a:xfrm>
          <a:off x="23622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38100</xdr:colOff>
      <xdr:row>9</xdr:row>
      <xdr:rowOff>57150</xdr:rowOff>
    </xdr:from>
    <xdr:to>
      <xdr:col>18</xdr:col>
      <xdr:colOff>104775</xdr:colOff>
      <xdr:row>9</xdr:row>
      <xdr:rowOff>152400</xdr:rowOff>
    </xdr:to>
    <xdr:sp macro="" textlink="">
      <xdr:nvSpPr>
        <xdr:cNvPr id="210" name="Diagrama de flujo: conector 209">
          <a:extLst>
            <a:ext uri="{FF2B5EF4-FFF2-40B4-BE49-F238E27FC236}">
              <a16:creationId xmlns:a16="http://schemas.microsoft.com/office/drawing/2014/main" id="{ED3B458E-D5EA-446B-8397-B8931A5A0D7B}"/>
            </a:ext>
          </a:extLst>
        </xdr:cNvPr>
        <xdr:cNvSpPr/>
      </xdr:nvSpPr>
      <xdr:spPr>
        <a:xfrm>
          <a:off x="23622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38100</xdr:colOff>
      <xdr:row>10</xdr:row>
      <xdr:rowOff>47625</xdr:rowOff>
    </xdr:from>
    <xdr:to>
      <xdr:col>18</xdr:col>
      <xdr:colOff>104775</xdr:colOff>
      <xdr:row>10</xdr:row>
      <xdr:rowOff>142875</xdr:rowOff>
    </xdr:to>
    <xdr:sp macro="" textlink="">
      <xdr:nvSpPr>
        <xdr:cNvPr id="211" name="Diagrama de flujo: conector 210">
          <a:extLst>
            <a:ext uri="{FF2B5EF4-FFF2-40B4-BE49-F238E27FC236}">
              <a16:creationId xmlns:a16="http://schemas.microsoft.com/office/drawing/2014/main" id="{5A045EBA-3B5D-4319-8832-1163336CD902}"/>
            </a:ext>
          </a:extLst>
        </xdr:cNvPr>
        <xdr:cNvSpPr/>
      </xdr:nvSpPr>
      <xdr:spPr>
        <a:xfrm>
          <a:off x="236220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38100</xdr:colOff>
      <xdr:row>12</xdr:row>
      <xdr:rowOff>47625</xdr:rowOff>
    </xdr:from>
    <xdr:to>
      <xdr:col>18</xdr:col>
      <xdr:colOff>104775</xdr:colOff>
      <xdr:row>12</xdr:row>
      <xdr:rowOff>142875</xdr:rowOff>
    </xdr:to>
    <xdr:sp macro="" textlink="">
      <xdr:nvSpPr>
        <xdr:cNvPr id="212" name="Diagrama de flujo: conector 211">
          <a:extLst>
            <a:ext uri="{FF2B5EF4-FFF2-40B4-BE49-F238E27FC236}">
              <a16:creationId xmlns:a16="http://schemas.microsoft.com/office/drawing/2014/main" id="{989C8E8C-2ACC-4F9E-AADF-34F7C36945F6}"/>
            </a:ext>
          </a:extLst>
        </xdr:cNvPr>
        <xdr:cNvSpPr/>
      </xdr:nvSpPr>
      <xdr:spPr>
        <a:xfrm>
          <a:off x="23622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38100</xdr:colOff>
      <xdr:row>2</xdr:row>
      <xdr:rowOff>57150</xdr:rowOff>
    </xdr:from>
    <xdr:to>
      <xdr:col>19</xdr:col>
      <xdr:colOff>104775</xdr:colOff>
      <xdr:row>2</xdr:row>
      <xdr:rowOff>152400</xdr:rowOff>
    </xdr:to>
    <xdr:sp macro="" textlink="">
      <xdr:nvSpPr>
        <xdr:cNvPr id="213" name="Diagrama de flujo: conector 212">
          <a:extLst>
            <a:ext uri="{FF2B5EF4-FFF2-40B4-BE49-F238E27FC236}">
              <a16:creationId xmlns:a16="http://schemas.microsoft.com/office/drawing/2014/main" id="{CE38E3E2-EDD9-4072-82EE-C48C3F8B8DA9}"/>
            </a:ext>
          </a:extLst>
        </xdr:cNvPr>
        <xdr:cNvSpPr/>
      </xdr:nvSpPr>
      <xdr:spPr>
        <a:xfrm>
          <a:off x="24955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38100</xdr:colOff>
      <xdr:row>3</xdr:row>
      <xdr:rowOff>57150</xdr:rowOff>
    </xdr:from>
    <xdr:to>
      <xdr:col>19</xdr:col>
      <xdr:colOff>104775</xdr:colOff>
      <xdr:row>3</xdr:row>
      <xdr:rowOff>152400</xdr:rowOff>
    </xdr:to>
    <xdr:sp macro="" textlink="">
      <xdr:nvSpPr>
        <xdr:cNvPr id="214" name="Diagrama de flujo: conector 213">
          <a:extLst>
            <a:ext uri="{FF2B5EF4-FFF2-40B4-BE49-F238E27FC236}">
              <a16:creationId xmlns:a16="http://schemas.microsoft.com/office/drawing/2014/main" id="{AF7E8C00-DB29-4CB6-8700-EBB102B7CF88}"/>
            </a:ext>
          </a:extLst>
        </xdr:cNvPr>
        <xdr:cNvSpPr/>
      </xdr:nvSpPr>
      <xdr:spPr>
        <a:xfrm>
          <a:off x="24955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38100</xdr:colOff>
      <xdr:row>4</xdr:row>
      <xdr:rowOff>57150</xdr:rowOff>
    </xdr:from>
    <xdr:to>
      <xdr:col>19</xdr:col>
      <xdr:colOff>104775</xdr:colOff>
      <xdr:row>4</xdr:row>
      <xdr:rowOff>152400</xdr:rowOff>
    </xdr:to>
    <xdr:sp macro="" textlink="">
      <xdr:nvSpPr>
        <xdr:cNvPr id="215" name="Diagrama de flujo: conector 214">
          <a:extLst>
            <a:ext uri="{FF2B5EF4-FFF2-40B4-BE49-F238E27FC236}">
              <a16:creationId xmlns:a16="http://schemas.microsoft.com/office/drawing/2014/main" id="{D1508030-2A06-40E5-8571-1B9406DD66A6}"/>
            </a:ext>
          </a:extLst>
        </xdr:cNvPr>
        <xdr:cNvSpPr/>
      </xdr:nvSpPr>
      <xdr:spPr>
        <a:xfrm>
          <a:off x="24955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38100</xdr:colOff>
      <xdr:row>5</xdr:row>
      <xdr:rowOff>57150</xdr:rowOff>
    </xdr:from>
    <xdr:to>
      <xdr:col>19</xdr:col>
      <xdr:colOff>104775</xdr:colOff>
      <xdr:row>5</xdr:row>
      <xdr:rowOff>152400</xdr:rowOff>
    </xdr:to>
    <xdr:sp macro="" textlink="">
      <xdr:nvSpPr>
        <xdr:cNvPr id="216" name="Diagrama de flujo: conector 215">
          <a:extLst>
            <a:ext uri="{FF2B5EF4-FFF2-40B4-BE49-F238E27FC236}">
              <a16:creationId xmlns:a16="http://schemas.microsoft.com/office/drawing/2014/main" id="{95205962-71D6-484B-87A2-308C48422679}"/>
            </a:ext>
          </a:extLst>
        </xdr:cNvPr>
        <xdr:cNvSpPr/>
      </xdr:nvSpPr>
      <xdr:spPr>
        <a:xfrm>
          <a:off x="24955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38100</xdr:colOff>
      <xdr:row>6</xdr:row>
      <xdr:rowOff>47625</xdr:rowOff>
    </xdr:from>
    <xdr:to>
      <xdr:col>19</xdr:col>
      <xdr:colOff>104775</xdr:colOff>
      <xdr:row>6</xdr:row>
      <xdr:rowOff>142875</xdr:rowOff>
    </xdr:to>
    <xdr:sp macro="" textlink="">
      <xdr:nvSpPr>
        <xdr:cNvPr id="217" name="Diagrama de flujo: conector 216">
          <a:extLst>
            <a:ext uri="{FF2B5EF4-FFF2-40B4-BE49-F238E27FC236}">
              <a16:creationId xmlns:a16="http://schemas.microsoft.com/office/drawing/2014/main" id="{B75E2F4D-A041-4F80-BE71-79BB7DAB6C2C}"/>
            </a:ext>
          </a:extLst>
        </xdr:cNvPr>
        <xdr:cNvSpPr/>
      </xdr:nvSpPr>
      <xdr:spPr>
        <a:xfrm>
          <a:off x="249555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38100</xdr:colOff>
      <xdr:row>7</xdr:row>
      <xdr:rowOff>47625</xdr:rowOff>
    </xdr:from>
    <xdr:to>
      <xdr:col>19</xdr:col>
      <xdr:colOff>104775</xdr:colOff>
      <xdr:row>7</xdr:row>
      <xdr:rowOff>142875</xdr:rowOff>
    </xdr:to>
    <xdr:sp macro="" textlink="">
      <xdr:nvSpPr>
        <xdr:cNvPr id="218" name="Diagrama de flujo: conector 217">
          <a:extLst>
            <a:ext uri="{FF2B5EF4-FFF2-40B4-BE49-F238E27FC236}">
              <a16:creationId xmlns:a16="http://schemas.microsoft.com/office/drawing/2014/main" id="{8E690E3A-6EED-4CE7-BBE7-2C8461A07B83}"/>
            </a:ext>
          </a:extLst>
        </xdr:cNvPr>
        <xdr:cNvSpPr/>
      </xdr:nvSpPr>
      <xdr:spPr>
        <a:xfrm>
          <a:off x="24955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38100</xdr:colOff>
      <xdr:row>8</xdr:row>
      <xdr:rowOff>57150</xdr:rowOff>
    </xdr:from>
    <xdr:to>
      <xdr:col>19</xdr:col>
      <xdr:colOff>104775</xdr:colOff>
      <xdr:row>8</xdr:row>
      <xdr:rowOff>152400</xdr:rowOff>
    </xdr:to>
    <xdr:sp macro="" textlink="">
      <xdr:nvSpPr>
        <xdr:cNvPr id="219" name="Diagrama de flujo: conector 218">
          <a:extLst>
            <a:ext uri="{FF2B5EF4-FFF2-40B4-BE49-F238E27FC236}">
              <a16:creationId xmlns:a16="http://schemas.microsoft.com/office/drawing/2014/main" id="{DBE0ED2A-F43C-4C1B-892D-3048716ED2B6}"/>
            </a:ext>
          </a:extLst>
        </xdr:cNvPr>
        <xdr:cNvSpPr/>
      </xdr:nvSpPr>
      <xdr:spPr>
        <a:xfrm>
          <a:off x="24955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38100</xdr:colOff>
      <xdr:row>9</xdr:row>
      <xdr:rowOff>57150</xdr:rowOff>
    </xdr:from>
    <xdr:to>
      <xdr:col>19</xdr:col>
      <xdr:colOff>104775</xdr:colOff>
      <xdr:row>9</xdr:row>
      <xdr:rowOff>152400</xdr:rowOff>
    </xdr:to>
    <xdr:sp macro="" textlink="">
      <xdr:nvSpPr>
        <xdr:cNvPr id="220" name="Diagrama de flujo: conector 219">
          <a:extLst>
            <a:ext uri="{FF2B5EF4-FFF2-40B4-BE49-F238E27FC236}">
              <a16:creationId xmlns:a16="http://schemas.microsoft.com/office/drawing/2014/main" id="{B62289A6-2B09-41E9-B811-C6C3B6DF8922}"/>
            </a:ext>
          </a:extLst>
        </xdr:cNvPr>
        <xdr:cNvSpPr/>
      </xdr:nvSpPr>
      <xdr:spPr>
        <a:xfrm>
          <a:off x="24955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38100</xdr:colOff>
      <xdr:row>10</xdr:row>
      <xdr:rowOff>47625</xdr:rowOff>
    </xdr:from>
    <xdr:to>
      <xdr:col>19</xdr:col>
      <xdr:colOff>104775</xdr:colOff>
      <xdr:row>10</xdr:row>
      <xdr:rowOff>142875</xdr:rowOff>
    </xdr:to>
    <xdr:sp macro="" textlink="">
      <xdr:nvSpPr>
        <xdr:cNvPr id="221" name="Diagrama de flujo: conector 220">
          <a:extLst>
            <a:ext uri="{FF2B5EF4-FFF2-40B4-BE49-F238E27FC236}">
              <a16:creationId xmlns:a16="http://schemas.microsoft.com/office/drawing/2014/main" id="{05F555EE-2735-4F69-BEFA-370A011354D2}"/>
            </a:ext>
          </a:extLst>
        </xdr:cNvPr>
        <xdr:cNvSpPr/>
      </xdr:nvSpPr>
      <xdr:spPr>
        <a:xfrm>
          <a:off x="249555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38100</xdr:colOff>
      <xdr:row>12</xdr:row>
      <xdr:rowOff>47625</xdr:rowOff>
    </xdr:from>
    <xdr:to>
      <xdr:col>19</xdr:col>
      <xdr:colOff>104775</xdr:colOff>
      <xdr:row>12</xdr:row>
      <xdr:rowOff>142875</xdr:rowOff>
    </xdr:to>
    <xdr:sp macro="" textlink="">
      <xdr:nvSpPr>
        <xdr:cNvPr id="222" name="Diagrama de flujo: conector 221">
          <a:extLst>
            <a:ext uri="{FF2B5EF4-FFF2-40B4-BE49-F238E27FC236}">
              <a16:creationId xmlns:a16="http://schemas.microsoft.com/office/drawing/2014/main" id="{1A896937-0D51-4ECB-BB76-3B7163790E91}"/>
            </a:ext>
          </a:extLst>
        </xdr:cNvPr>
        <xdr:cNvSpPr/>
      </xdr:nvSpPr>
      <xdr:spPr>
        <a:xfrm>
          <a:off x="24955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20</xdr:col>
      <xdr:colOff>38100</xdr:colOff>
      <xdr:row>2</xdr:row>
      <xdr:rowOff>57150</xdr:rowOff>
    </xdr:from>
    <xdr:to>
      <xdr:col>20</xdr:col>
      <xdr:colOff>104775</xdr:colOff>
      <xdr:row>2</xdr:row>
      <xdr:rowOff>152400</xdr:rowOff>
    </xdr:to>
    <xdr:sp macro="" textlink="">
      <xdr:nvSpPr>
        <xdr:cNvPr id="223" name="Diagrama de flujo: conector 222">
          <a:extLst>
            <a:ext uri="{FF2B5EF4-FFF2-40B4-BE49-F238E27FC236}">
              <a16:creationId xmlns:a16="http://schemas.microsoft.com/office/drawing/2014/main" id="{DBB39684-2D48-466B-823A-666E5EE3EA8C}"/>
            </a:ext>
          </a:extLst>
        </xdr:cNvPr>
        <xdr:cNvSpPr/>
      </xdr:nvSpPr>
      <xdr:spPr>
        <a:xfrm>
          <a:off x="26289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20</xdr:col>
      <xdr:colOff>38100</xdr:colOff>
      <xdr:row>3</xdr:row>
      <xdr:rowOff>57150</xdr:rowOff>
    </xdr:from>
    <xdr:to>
      <xdr:col>20</xdr:col>
      <xdr:colOff>104775</xdr:colOff>
      <xdr:row>3</xdr:row>
      <xdr:rowOff>152400</xdr:rowOff>
    </xdr:to>
    <xdr:sp macro="" textlink="">
      <xdr:nvSpPr>
        <xdr:cNvPr id="224" name="Diagrama de flujo: conector 223">
          <a:extLst>
            <a:ext uri="{FF2B5EF4-FFF2-40B4-BE49-F238E27FC236}">
              <a16:creationId xmlns:a16="http://schemas.microsoft.com/office/drawing/2014/main" id="{B1312CB4-D8B3-4419-B509-425F87B7E4BD}"/>
            </a:ext>
          </a:extLst>
        </xdr:cNvPr>
        <xdr:cNvSpPr/>
      </xdr:nvSpPr>
      <xdr:spPr>
        <a:xfrm>
          <a:off x="26289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20</xdr:col>
      <xdr:colOff>38100</xdr:colOff>
      <xdr:row>4</xdr:row>
      <xdr:rowOff>57150</xdr:rowOff>
    </xdr:from>
    <xdr:to>
      <xdr:col>20</xdr:col>
      <xdr:colOff>104775</xdr:colOff>
      <xdr:row>4</xdr:row>
      <xdr:rowOff>152400</xdr:rowOff>
    </xdr:to>
    <xdr:sp macro="" textlink="">
      <xdr:nvSpPr>
        <xdr:cNvPr id="225" name="Diagrama de flujo: conector 224">
          <a:extLst>
            <a:ext uri="{FF2B5EF4-FFF2-40B4-BE49-F238E27FC236}">
              <a16:creationId xmlns:a16="http://schemas.microsoft.com/office/drawing/2014/main" id="{A7CFCC75-FC03-4BC6-A7F5-2FAC9C451F47}"/>
            </a:ext>
          </a:extLst>
        </xdr:cNvPr>
        <xdr:cNvSpPr/>
      </xdr:nvSpPr>
      <xdr:spPr>
        <a:xfrm>
          <a:off x="26289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20</xdr:col>
      <xdr:colOff>38100</xdr:colOff>
      <xdr:row>5</xdr:row>
      <xdr:rowOff>57150</xdr:rowOff>
    </xdr:from>
    <xdr:to>
      <xdr:col>20</xdr:col>
      <xdr:colOff>104775</xdr:colOff>
      <xdr:row>5</xdr:row>
      <xdr:rowOff>152400</xdr:rowOff>
    </xdr:to>
    <xdr:sp macro="" textlink="">
      <xdr:nvSpPr>
        <xdr:cNvPr id="226" name="Diagrama de flujo: conector 225">
          <a:extLst>
            <a:ext uri="{FF2B5EF4-FFF2-40B4-BE49-F238E27FC236}">
              <a16:creationId xmlns:a16="http://schemas.microsoft.com/office/drawing/2014/main" id="{6776B4C7-2325-4CFD-A16E-B85F109BE4C0}"/>
            </a:ext>
          </a:extLst>
        </xdr:cNvPr>
        <xdr:cNvSpPr/>
      </xdr:nvSpPr>
      <xdr:spPr>
        <a:xfrm>
          <a:off x="26289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20</xdr:col>
      <xdr:colOff>38100</xdr:colOff>
      <xdr:row>6</xdr:row>
      <xdr:rowOff>47625</xdr:rowOff>
    </xdr:from>
    <xdr:to>
      <xdr:col>20</xdr:col>
      <xdr:colOff>104775</xdr:colOff>
      <xdr:row>6</xdr:row>
      <xdr:rowOff>142875</xdr:rowOff>
    </xdr:to>
    <xdr:sp macro="" textlink="">
      <xdr:nvSpPr>
        <xdr:cNvPr id="227" name="Diagrama de flujo: conector 226">
          <a:extLst>
            <a:ext uri="{FF2B5EF4-FFF2-40B4-BE49-F238E27FC236}">
              <a16:creationId xmlns:a16="http://schemas.microsoft.com/office/drawing/2014/main" id="{3F977850-151C-4245-BC2B-9BB46E73532E}"/>
            </a:ext>
          </a:extLst>
        </xdr:cNvPr>
        <xdr:cNvSpPr/>
      </xdr:nvSpPr>
      <xdr:spPr>
        <a:xfrm>
          <a:off x="262890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20</xdr:col>
      <xdr:colOff>38100</xdr:colOff>
      <xdr:row>7</xdr:row>
      <xdr:rowOff>47625</xdr:rowOff>
    </xdr:from>
    <xdr:to>
      <xdr:col>20</xdr:col>
      <xdr:colOff>104775</xdr:colOff>
      <xdr:row>7</xdr:row>
      <xdr:rowOff>142875</xdr:rowOff>
    </xdr:to>
    <xdr:sp macro="" textlink="">
      <xdr:nvSpPr>
        <xdr:cNvPr id="228" name="Diagrama de flujo: conector 227">
          <a:extLst>
            <a:ext uri="{FF2B5EF4-FFF2-40B4-BE49-F238E27FC236}">
              <a16:creationId xmlns:a16="http://schemas.microsoft.com/office/drawing/2014/main" id="{22537981-670F-463E-864F-F75300C9ED33}"/>
            </a:ext>
          </a:extLst>
        </xdr:cNvPr>
        <xdr:cNvSpPr/>
      </xdr:nvSpPr>
      <xdr:spPr>
        <a:xfrm>
          <a:off x="26289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20</xdr:col>
      <xdr:colOff>38100</xdr:colOff>
      <xdr:row>8</xdr:row>
      <xdr:rowOff>57150</xdr:rowOff>
    </xdr:from>
    <xdr:to>
      <xdr:col>20</xdr:col>
      <xdr:colOff>104775</xdr:colOff>
      <xdr:row>8</xdr:row>
      <xdr:rowOff>152400</xdr:rowOff>
    </xdr:to>
    <xdr:sp macro="" textlink="">
      <xdr:nvSpPr>
        <xdr:cNvPr id="229" name="Diagrama de flujo: conector 228">
          <a:extLst>
            <a:ext uri="{FF2B5EF4-FFF2-40B4-BE49-F238E27FC236}">
              <a16:creationId xmlns:a16="http://schemas.microsoft.com/office/drawing/2014/main" id="{8BACA552-748E-4886-95D2-75F19B7F598A}"/>
            </a:ext>
          </a:extLst>
        </xdr:cNvPr>
        <xdr:cNvSpPr/>
      </xdr:nvSpPr>
      <xdr:spPr>
        <a:xfrm>
          <a:off x="26289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20</xdr:col>
      <xdr:colOff>38100</xdr:colOff>
      <xdr:row>9</xdr:row>
      <xdr:rowOff>57150</xdr:rowOff>
    </xdr:from>
    <xdr:to>
      <xdr:col>20</xdr:col>
      <xdr:colOff>104775</xdr:colOff>
      <xdr:row>9</xdr:row>
      <xdr:rowOff>152400</xdr:rowOff>
    </xdr:to>
    <xdr:sp macro="" textlink="">
      <xdr:nvSpPr>
        <xdr:cNvPr id="230" name="Diagrama de flujo: conector 229">
          <a:extLst>
            <a:ext uri="{FF2B5EF4-FFF2-40B4-BE49-F238E27FC236}">
              <a16:creationId xmlns:a16="http://schemas.microsoft.com/office/drawing/2014/main" id="{932D95AA-3CEA-4B47-A27C-6C52E0DDC91D}"/>
            </a:ext>
          </a:extLst>
        </xdr:cNvPr>
        <xdr:cNvSpPr/>
      </xdr:nvSpPr>
      <xdr:spPr>
        <a:xfrm>
          <a:off x="26289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20</xdr:col>
      <xdr:colOff>38100</xdr:colOff>
      <xdr:row>10</xdr:row>
      <xdr:rowOff>47625</xdr:rowOff>
    </xdr:from>
    <xdr:to>
      <xdr:col>20</xdr:col>
      <xdr:colOff>104775</xdr:colOff>
      <xdr:row>10</xdr:row>
      <xdr:rowOff>142875</xdr:rowOff>
    </xdr:to>
    <xdr:sp macro="" textlink="">
      <xdr:nvSpPr>
        <xdr:cNvPr id="231" name="Diagrama de flujo: conector 230">
          <a:extLst>
            <a:ext uri="{FF2B5EF4-FFF2-40B4-BE49-F238E27FC236}">
              <a16:creationId xmlns:a16="http://schemas.microsoft.com/office/drawing/2014/main" id="{07346729-BA27-4102-A17E-87D48103826F}"/>
            </a:ext>
          </a:extLst>
        </xdr:cNvPr>
        <xdr:cNvSpPr/>
      </xdr:nvSpPr>
      <xdr:spPr>
        <a:xfrm>
          <a:off x="262890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20</xdr:col>
      <xdr:colOff>38100</xdr:colOff>
      <xdr:row>12</xdr:row>
      <xdr:rowOff>47625</xdr:rowOff>
    </xdr:from>
    <xdr:to>
      <xdr:col>20</xdr:col>
      <xdr:colOff>104775</xdr:colOff>
      <xdr:row>12</xdr:row>
      <xdr:rowOff>142875</xdr:rowOff>
    </xdr:to>
    <xdr:sp macro="" textlink="">
      <xdr:nvSpPr>
        <xdr:cNvPr id="232" name="Diagrama de flujo: conector 231">
          <a:extLst>
            <a:ext uri="{FF2B5EF4-FFF2-40B4-BE49-F238E27FC236}">
              <a16:creationId xmlns:a16="http://schemas.microsoft.com/office/drawing/2014/main" id="{392FDE40-9574-4C08-A142-9FEC1063238E}"/>
            </a:ext>
          </a:extLst>
        </xdr:cNvPr>
        <xdr:cNvSpPr/>
      </xdr:nvSpPr>
      <xdr:spPr>
        <a:xfrm>
          <a:off x="26289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21</xdr:col>
      <xdr:colOff>38100</xdr:colOff>
      <xdr:row>2</xdr:row>
      <xdr:rowOff>57150</xdr:rowOff>
    </xdr:from>
    <xdr:to>
      <xdr:col>21</xdr:col>
      <xdr:colOff>104775</xdr:colOff>
      <xdr:row>2</xdr:row>
      <xdr:rowOff>152400</xdr:rowOff>
    </xdr:to>
    <xdr:sp macro="" textlink="">
      <xdr:nvSpPr>
        <xdr:cNvPr id="233" name="Diagrama de flujo: conector 232">
          <a:extLst>
            <a:ext uri="{FF2B5EF4-FFF2-40B4-BE49-F238E27FC236}">
              <a16:creationId xmlns:a16="http://schemas.microsoft.com/office/drawing/2014/main" id="{707790A0-95AD-482D-B485-BD036DCE1ED4}"/>
            </a:ext>
          </a:extLst>
        </xdr:cNvPr>
        <xdr:cNvSpPr/>
      </xdr:nvSpPr>
      <xdr:spPr>
        <a:xfrm>
          <a:off x="27622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21</xdr:col>
      <xdr:colOff>38100</xdr:colOff>
      <xdr:row>3</xdr:row>
      <xdr:rowOff>57150</xdr:rowOff>
    </xdr:from>
    <xdr:to>
      <xdr:col>21</xdr:col>
      <xdr:colOff>104775</xdr:colOff>
      <xdr:row>3</xdr:row>
      <xdr:rowOff>152400</xdr:rowOff>
    </xdr:to>
    <xdr:sp macro="" textlink="">
      <xdr:nvSpPr>
        <xdr:cNvPr id="234" name="Diagrama de flujo: conector 233">
          <a:extLst>
            <a:ext uri="{FF2B5EF4-FFF2-40B4-BE49-F238E27FC236}">
              <a16:creationId xmlns:a16="http://schemas.microsoft.com/office/drawing/2014/main" id="{FCD3BE69-6DCF-4620-ABEC-28DBFAEFD21D}"/>
            </a:ext>
          </a:extLst>
        </xdr:cNvPr>
        <xdr:cNvSpPr/>
      </xdr:nvSpPr>
      <xdr:spPr>
        <a:xfrm>
          <a:off x="27622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21</xdr:col>
      <xdr:colOff>38100</xdr:colOff>
      <xdr:row>4</xdr:row>
      <xdr:rowOff>57150</xdr:rowOff>
    </xdr:from>
    <xdr:to>
      <xdr:col>21</xdr:col>
      <xdr:colOff>104775</xdr:colOff>
      <xdr:row>4</xdr:row>
      <xdr:rowOff>152400</xdr:rowOff>
    </xdr:to>
    <xdr:sp macro="" textlink="">
      <xdr:nvSpPr>
        <xdr:cNvPr id="235" name="Diagrama de flujo: conector 234">
          <a:extLst>
            <a:ext uri="{FF2B5EF4-FFF2-40B4-BE49-F238E27FC236}">
              <a16:creationId xmlns:a16="http://schemas.microsoft.com/office/drawing/2014/main" id="{D051294A-210B-4DF9-BA78-F3F23591A3F5}"/>
            </a:ext>
          </a:extLst>
        </xdr:cNvPr>
        <xdr:cNvSpPr/>
      </xdr:nvSpPr>
      <xdr:spPr>
        <a:xfrm>
          <a:off x="27622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21</xdr:col>
      <xdr:colOff>38100</xdr:colOff>
      <xdr:row>5</xdr:row>
      <xdr:rowOff>57150</xdr:rowOff>
    </xdr:from>
    <xdr:to>
      <xdr:col>21</xdr:col>
      <xdr:colOff>104775</xdr:colOff>
      <xdr:row>5</xdr:row>
      <xdr:rowOff>152400</xdr:rowOff>
    </xdr:to>
    <xdr:sp macro="" textlink="">
      <xdr:nvSpPr>
        <xdr:cNvPr id="236" name="Diagrama de flujo: conector 235">
          <a:extLst>
            <a:ext uri="{FF2B5EF4-FFF2-40B4-BE49-F238E27FC236}">
              <a16:creationId xmlns:a16="http://schemas.microsoft.com/office/drawing/2014/main" id="{E2EE53AE-E72F-4151-A1A7-9B22988718A1}"/>
            </a:ext>
          </a:extLst>
        </xdr:cNvPr>
        <xdr:cNvSpPr/>
      </xdr:nvSpPr>
      <xdr:spPr>
        <a:xfrm>
          <a:off x="27622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21</xdr:col>
      <xdr:colOff>38100</xdr:colOff>
      <xdr:row>6</xdr:row>
      <xdr:rowOff>47625</xdr:rowOff>
    </xdr:from>
    <xdr:to>
      <xdr:col>21</xdr:col>
      <xdr:colOff>104775</xdr:colOff>
      <xdr:row>6</xdr:row>
      <xdr:rowOff>142875</xdr:rowOff>
    </xdr:to>
    <xdr:sp macro="" textlink="">
      <xdr:nvSpPr>
        <xdr:cNvPr id="237" name="Diagrama de flujo: conector 236">
          <a:extLst>
            <a:ext uri="{FF2B5EF4-FFF2-40B4-BE49-F238E27FC236}">
              <a16:creationId xmlns:a16="http://schemas.microsoft.com/office/drawing/2014/main" id="{732B73D8-3486-418F-90DD-13412AD6C6F7}"/>
            </a:ext>
          </a:extLst>
        </xdr:cNvPr>
        <xdr:cNvSpPr/>
      </xdr:nvSpPr>
      <xdr:spPr>
        <a:xfrm>
          <a:off x="276225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21</xdr:col>
      <xdr:colOff>38100</xdr:colOff>
      <xdr:row>7</xdr:row>
      <xdr:rowOff>47625</xdr:rowOff>
    </xdr:from>
    <xdr:to>
      <xdr:col>21</xdr:col>
      <xdr:colOff>104775</xdr:colOff>
      <xdr:row>7</xdr:row>
      <xdr:rowOff>142875</xdr:rowOff>
    </xdr:to>
    <xdr:sp macro="" textlink="">
      <xdr:nvSpPr>
        <xdr:cNvPr id="238" name="Diagrama de flujo: conector 237">
          <a:extLst>
            <a:ext uri="{FF2B5EF4-FFF2-40B4-BE49-F238E27FC236}">
              <a16:creationId xmlns:a16="http://schemas.microsoft.com/office/drawing/2014/main" id="{931FFBDB-4139-4510-8FA3-0DBC81E79D70}"/>
            </a:ext>
          </a:extLst>
        </xdr:cNvPr>
        <xdr:cNvSpPr/>
      </xdr:nvSpPr>
      <xdr:spPr>
        <a:xfrm>
          <a:off x="27622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21</xdr:col>
      <xdr:colOff>38100</xdr:colOff>
      <xdr:row>8</xdr:row>
      <xdr:rowOff>57150</xdr:rowOff>
    </xdr:from>
    <xdr:to>
      <xdr:col>21</xdr:col>
      <xdr:colOff>104775</xdr:colOff>
      <xdr:row>8</xdr:row>
      <xdr:rowOff>152400</xdr:rowOff>
    </xdr:to>
    <xdr:sp macro="" textlink="">
      <xdr:nvSpPr>
        <xdr:cNvPr id="239" name="Diagrama de flujo: conector 238">
          <a:extLst>
            <a:ext uri="{FF2B5EF4-FFF2-40B4-BE49-F238E27FC236}">
              <a16:creationId xmlns:a16="http://schemas.microsoft.com/office/drawing/2014/main" id="{D3E10D67-DE5C-400E-BBA1-645307162C83}"/>
            </a:ext>
          </a:extLst>
        </xdr:cNvPr>
        <xdr:cNvSpPr/>
      </xdr:nvSpPr>
      <xdr:spPr>
        <a:xfrm>
          <a:off x="27622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21</xdr:col>
      <xdr:colOff>38100</xdr:colOff>
      <xdr:row>9</xdr:row>
      <xdr:rowOff>57150</xdr:rowOff>
    </xdr:from>
    <xdr:to>
      <xdr:col>21</xdr:col>
      <xdr:colOff>104775</xdr:colOff>
      <xdr:row>9</xdr:row>
      <xdr:rowOff>152400</xdr:rowOff>
    </xdr:to>
    <xdr:sp macro="" textlink="">
      <xdr:nvSpPr>
        <xdr:cNvPr id="240" name="Diagrama de flujo: conector 239">
          <a:extLst>
            <a:ext uri="{FF2B5EF4-FFF2-40B4-BE49-F238E27FC236}">
              <a16:creationId xmlns:a16="http://schemas.microsoft.com/office/drawing/2014/main" id="{187F923A-7F20-4CF8-9561-E98F75E0B674}"/>
            </a:ext>
          </a:extLst>
        </xdr:cNvPr>
        <xdr:cNvSpPr/>
      </xdr:nvSpPr>
      <xdr:spPr>
        <a:xfrm>
          <a:off x="27622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21</xdr:col>
      <xdr:colOff>38100</xdr:colOff>
      <xdr:row>10</xdr:row>
      <xdr:rowOff>47625</xdr:rowOff>
    </xdr:from>
    <xdr:to>
      <xdr:col>21</xdr:col>
      <xdr:colOff>104775</xdr:colOff>
      <xdr:row>10</xdr:row>
      <xdr:rowOff>142875</xdr:rowOff>
    </xdr:to>
    <xdr:sp macro="" textlink="">
      <xdr:nvSpPr>
        <xdr:cNvPr id="241" name="Diagrama de flujo: conector 240">
          <a:extLst>
            <a:ext uri="{FF2B5EF4-FFF2-40B4-BE49-F238E27FC236}">
              <a16:creationId xmlns:a16="http://schemas.microsoft.com/office/drawing/2014/main" id="{680FC4C4-71B1-4501-9ED3-C63F4F9DA48E}"/>
            </a:ext>
          </a:extLst>
        </xdr:cNvPr>
        <xdr:cNvSpPr/>
      </xdr:nvSpPr>
      <xdr:spPr>
        <a:xfrm>
          <a:off x="276225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21</xdr:col>
      <xdr:colOff>38100</xdr:colOff>
      <xdr:row>12</xdr:row>
      <xdr:rowOff>47625</xdr:rowOff>
    </xdr:from>
    <xdr:to>
      <xdr:col>21</xdr:col>
      <xdr:colOff>104775</xdr:colOff>
      <xdr:row>12</xdr:row>
      <xdr:rowOff>142875</xdr:rowOff>
    </xdr:to>
    <xdr:sp macro="" textlink="">
      <xdr:nvSpPr>
        <xdr:cNvPr id="242" name="Diagrama de flujo: conector 241">
          <a:extLst>
            <a:ext uri="{FF2B5EF4-FFF2-40B4-BE49-F238E27FC236}">
              <a16:creationId xmlns:a16="http://schemas.microsoft.com/office/drawing/2014/main" id="{863F8C55-4AE6-4C4E-ADA1-0BE302CC77CA}"/>
            </a:ext>
          </a:extLst>
        </xdr:cNvPr>
        <xdr:cNvSpPr/>
      </xdr:nvSpPr>
      <xdr:spPr>
        <a:xfrm>
          <a:off x="27622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38100</xdr:colOff>
      <xdr:row>2</xdr:row>
      <xdr:rowOff>57150</xdr:rowOff>
    </xdr:from>
    <xdr:to>
      <xdr:col>22</xdr:col>
      <xdr:colOff>104775</xdr:colOff>
      <xdr:row>2</xdr:row>
      <xdr:rowOff>152400</xdr:rowOff>
    </xdr:to>
    <xdr:sp macro="" textlink="">
      <xdr:nvSpPr>
        <xdr:cNvPr id="243" name="Diagrama de flujo: conector 242">
          <a:extLst>
            <a:ext uri="{FF2B5EF4-FFF2-40B4-BE49-F238E27FC236}">
              <a16:creationId xmlns:a16="http://schemas.microsoft.com/office/drawing/2014/main" id="{4B12B6BB-9C83-4592-93C4-885CA6646E13}"/>
            </a:ext>
          </a:extLst>
        </xdr:cNvPr>
        <xdr:cNvSpPr/>
      </xdr:nvSpPr>
      <xdr:spPr>
        <a:xfrm>
          <a:off x="4362450" y="45720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38100</xdr:colOff>
      <xdr:row>3</xdr:row>
      <xdr:rowOff>57150</xdr:rowOff>
    </xdr:from>
    <xdr:to>
      <xdr:col>22</xdr:col>
      <xdr:colOff>104775</xdr:colOff>
      <xdr:row>3</xdr:row>
      <xdr:rowOff>152400</xdr:rowOff>
    </xdr:to>
    <xdr:sp macro="" textlink="">
      <xdr:nvSpPr>
        <xdr:cNvPr id="244" name="Diagrama de flujo: conector 243">
          <a:extLst>
            <a:ext uri="{FF2B5EF4-FFF2-40B4-BE49-F238E27FC236}">
              <a16:creationId xmlns:a16="http://schemas.microsoft.com/office/drawing/2014/main" id="{F8F15857-8311-40A8-9808-5D530B6FB80E}"/>
            </a:ext>
          </a:extLst>
        </xdr:cNvPr>
        <xdr:cNvSpPr/>
      </xdr:nvSpPr>
      <xdr:spPr>
        <a:xfrm>
          <a:off x="28956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38100</xdr:colOff>
      <xdr:row>4</xdr:row>
      <xdr:rowOff>57150</xdr:rowOff>
    </xdr:from>
    <xdr:to>
      <xdr:col>22</xdr:col>
      <xdr:colOff>104775</xdr:colOff>
      <xdr:row>4</xdr:row>
      <xdr:rowOff>152400</xdr:rowOff>
    </xdr:to>
    <xdr:sp macro="" textlink="">
      <xdr:nvSpPr>
        <xdr:cNvPr id="245" name="Diagrama de flujo: conector 244">
          <a:extLst>
            <a:ext uri="{FF2B5EF4-FFF2-40B4-BE49-F238E27FC236}">
              <a16:creationId xmlns:a16="http://schemas.microsoft.com/office/drawing/2014/main" id="{3B32EC5B-DC5B-4237-AAF1-C80A44E94F64}"/>
            </a:ext>
          </a:extLst>
        </xdr:cNvPr>
        <xdr:cNvSpPr/>
      </xdr:nvSpPr>
      <xdr:spPr>
        <a:xfrm>
          <a:off x="28956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38100</xdr:colOff>
      <xdr:row>5</xdr:row>
      <xdr:rowOff>57150</xdr:rowOff>
    </xdr:from>
    <xdr:to>
      <xdr:col>22</xdr:col>
      <xdr:colOff>104775</xdr:colOff>
      <xdr:row>5</xdr:row>
      <xdr:rowOff>152400</xdr:rowOff>
    </xdr:to>
    <xdr:sp macro="" textlink="">
      <xdr:nvSpPr>
        <xdr:cNvPr id="246" name="Diagrama de flujo: conector 245">
          <a:extLst>
            <a:ext uri="{FF2B5EF4-FFF2-40B4-BE49-F238E27FC236}">
              <a16:creationId xmlns:a16="http://schemas.microsoft.com/office/drawing/2014/main" id="{B89B001D-FEED-4CEB-B0D3-8539D9A79EC6}"/>
            </a:ext>
          </a:extLst>
        </xdr:cNvPr>
        <xdr:cNvSpPr/>
      </xdr:nvSpPr>
      <xdr:spPr>
        <a:xfrm>
          <a:off x="28956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38100</xdr:colOff>
      <xdr:row>6</xdr:row>
      <xdr:rowOff>47625</xdr:rowOff>
    </xdr:from>
    <xdr:to>
      <xdr:col>22</xdr:col>
      <xdr:colOff>104775</xdr:colOff>
      <xdr:row>6</xdr:row>
      <xdr:rowOff>142875</xdr:rowOff>
    </xdr:to>
    <xdr:sp macro="" textlink="">
      <xdr:nvSpPr>
        <xdr:cNvPr id="247" name="Diagrama de flujo: conector 246">
          <a:extLst>
            <a:ext uri="{FF2B5EF4-FFF2-40B4-BE49-F238E27FC236}">
              <a16:creationId xmlns:a16="http://schemas.microsoft.com/office/drawing/2014/main" id="{3BD0B935-BA89-43CC-B3D0-A9643ABE6DA1}"/>
            </a:ext>
          </a:extLst>
        </xdr:cNvPr>
        <xdr:cNvSpPr/>
      </xdr:nvSpPr>
      <xdr:spPr>
        <a:xfrm>
          <a:off x="289560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38100</xdr:colOff>
      <xdr:row>7</xdr:row>
      <xdr:rowOff>47625</xdr:rowOff>
    </xdr:from>
    <xdr:to>
      <xdr:col>22</xdr:col>
      <xdr:colOff>104775</xdr:colOff>
      <xdr:row>7</xdr:row>
      <xdr:rowOff>142875</xdr:rowOff>
    </xdr:to>
    <xdr:sp macro="" textlink="">
      <xdr:nvSpPr>
        <xdr:cNvPr id="248" name="Diagrama de flujo: conector 247">
          <a:extLst>
            <a:ext uri="{FF2B5EF4-FFF2-40B4-BE49-F238E27FC236}">
              <a16:creationId xmlns:a16="http://schemas.microsoft.com/office/drawing/2014/main" id="{78F3F7C3-77FE-494F-BFB6-89BD7092AE92}"/>
            </a:ext>
          </a:extLst>
        </xdr:cNvPr>
        <xdr:cNvSpPr/>
      </xdr:nvSpPr>
      <xdr:spPr>
        <a:xfrm>
          <a:off x="28956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38100</xdr:colOff>
      <xdr:row>8</xdr:row>
      <xdr:rowOff>57150</xdr:rowOff>
    </xdr:from>
    <xdr:to>
      <xdr:col>22</xdr:col>
      <xdr:colOff>104775</xdr:colOff>
      <xdr:row>8</xdr:row>
      <xdr:rowOff>152400</xdr:rowOff>
    </xdr:to>
    <xdr:sp macro="" textlink="">
      <xdr:nvSpPr>
        <xdr:cNvPr id="249" name="Diagrama de flujo: conector 248">
          <a:extLst>
            <a:ext uri="{FF2B5EF4-FFF2-40B4-BE49-F238E27FC236}">
              <a16:creationId xmlns:a16="http://schemas.microsoft.com/office/drawing/2014/main" id="{AF598874-67CD-492B-97FB-01D7AFA076A8}"/>
            </a:ext>
          </a:extLst>
        </xdr:cNvPr>
        <xdr:cNvSpPr/>
      </xdr:nvSpPr>
      <xdr:spPr>
        <a:xfrm>
          <a:off x="28956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38100</xdr:colOff>
      <xdr:row>9</xdr:row>
      <xdr:rowOff>57150</xdr:rowOff>
    </xdr:from>
    <xdr:to>
      <xdr:col>22</xdr:col>
      <xdr:colOff>104775</xdr:colOff>
      <xdr:row>9</xdr:row>
      <xdr:rowOff>152400</xdr:rowOff>
    </xdr:to>
    <xdr:sp macro="" textlink="">
      <xdr:nvSpPr>
        <xdr:cNvPr id="250" name="Diagrama de flujo: conector 249">
          <a:extLst>
            <a:ext uri="{FF2B5EF4-FFF2-40B4-BE49-F238E27FC236}">
              <a16:creationId xmlns:a16="http://schemas.microsoft.com/office/drawing/2014/main" id="{9D723A06-1E52-49EC-85BB-ED74198C3A04}"/>
            </a:ext>
          </a:extLst>
        </xdr:cNvPr>
        <xdr:cNvSpPr/>
      </xdr:nvSpPr>
      <xdr:spPr>
        <a:xfrm>
          <a:off x="28956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38100</xdr:colOff>
      <xdr:row>10</xdr:row>
      <xdr:rowOff>47625</xdr:rowOff>
    </xdr:from>
    <xdr:to>
      <xdr:col>22</xdr:col>
      <xdr:colOff>104775</xdr:colOff>
      <xdr:row>10</xdr:row>
      <xdr:rowOff>142875</xdr:rowOff>
    </xdr:to>
    <xdr:sp macro="" textlink="">
      <xdr:nvSpPr>
        <xdr:cNvPr id="251" name="Diagrama de flujo: conector 250">
          <a:extLst>
            <a:ext uri="{FF2B5EF4-FFF2-40B4-BE49-F238E27FC236}">
              <a16:creationId xmlns:a16="http://schemas.microsoft.com/office/drawing/2014/main" id="{05F03BFB-CE56-489D-8A5A-FCD11217A038}"/>
            </a:ext>
          </a:extLst>
        </xdr:cNvPr>
        <xdr:cNvSpPr/>
      </xdr:nvSpPr>
      <xdr:spPr>
        <a:xfrm>
          <a:off x="289560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38100</xdr:colOff>
      <xdr:row>12</xdr:row>
      <xdr:rowOff>47625</xdr:rowOff>
    </xdr:from>
    <xdr:to>
      <xdr:col>22</xdr:col>
      <xdr:colOff>104775</xdr:colOff>
      <xdr:row>12</xdr:row>
      <xdr:rowOff>142875</xdr:rowOff>
    </xdr:to>
    <xdr:sp macro="" textlink="">
      <xdr:nvSpPr>
        <xdr:cNvPr id="252" name="Diagrama de flujo: conector 251">
          <a:extLst>
            <a:ext uri="{FF2B5EF4-FFF2-40B4-BE49-F238E27FC236}">
              <a16:creationId xmlns:a16="http://schemas.microsoft.com/office/drawing/2014/main" id="{332E0450-BF38-4098-9CED-8E617EDF80E7}"/>
            </a:ext>
          </a:extLst>
        </xdr:cNvPr>
        <xdr:cNvSpPr/>
      </xdr:nvSpPr>
      <xdr:spPr>
        <a:xfrm>
          <a:off x="28956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38100</xdr:colOff>
      <xdr:row>2</xdr:row>
      <xdr:rowOff>57150</xdr:rowOff>
    </xdr:from>
    <xdr:to>
      <xdr:col>15</xdr:col>
      <xdr:colOff>104775</xdr:colOff>
      <xdr:row>2</xdr:row>
      <xdr:rowOff>152400</xdr:rowOff>
    </xdr:to>
    <xdr:sp macro="" textlink="">
      <xdr:nvSpPr>
        <xdr:cNvPr id="253" name="Diagrama de flujo: conector 252">
          <a:extLst>
            <a:ext uri="{FF2B5EF4-FFF2-40B4-BE49-F238E27FC236}">
              <a16:creationId xmlns:a16="http://schemas.microsoft.com/office/drawing/2014/main" id="{52313C6C-728E-476F-8A91-64BC48F28BA1}"/>
            </a:ext>
          </a:extLst>
        </xdr:cNvPr>
        <xdr:cNvSpPr/>
      </xdr:nvSpPr>
      <xdr:spPr>
        <a:xfrm>
          <a:off x="19621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38100</xdr:colOff>
      <xdr:row>3</xdr:row>
      <xdr:rowOff>57150</xdr:rowOff>
    </xdr:from>
    <xdr:to>
      <xdr:col>15</xdr:col>
      <xdr:colOff>104775</xdr:colOff>
      <xdr:row>3</xdr:row>
      <xdr:rowOff>152400</xdr:rowOff>
    </xdr:to>
    <xdr:sp macro="" textlink="">
      <xdr:nvSpPr>
        <xdr:cNvPr id="254" name="Diagrama de flujo: conector 253">
          <a:extLst>
            <a:ext uri="{FF2B5EF4-FFF2-40B4-BE49-F238E27FC236}">
              <a16:creationId xmlns:a16="http://schemas.microsoft.com/office/drawing/2014/main" id="{1DB461CC-CFCE-44D5-8969-63BF68978E39}"/>
            </a:ext>
          </a:extLst>
        </xdr:cNvPr>
        <xdr:cNvSpPr/>
      </xdr:nvSpPr>
      <xdr:spPr>
        <a:xfrm>
          <a:off x="19621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38100</xdr:colOff>
      <xdr:row>4</xdr:row>
      <xdr:rowOff>57150</xdr:rowOff>
    </xdr:from>
    <xdr:to>
      <xdr:col>15</xdr:col>
      <xdr:colOff>104775</xdr:colOff>
      <xdr:row>4</xdr:row>
      <xdr:rowOff>152400</xdr:rowOff>
    </xdr:to>
    <xdr:sp macro="" textlink="">
      <xdr:nvSpPr>
        <xdr:cNvPr id="255" name="Diagrama de flujo: conector 254">
          <a:extLst>
            <a:ext uri="{FF2B5EF4-FFF2-40B4-BE49-F238E27FC236}">
              <a16:creationId xmlns:a16="http://schemas.microsoft.com/office/drawing/2014/main" id="{F934C79E-28F3-4C08-B0B4-F812716880A6}"/>
            </a:ext>
          </a:extLst>
        </xdr:cNvPr>
        <xdr:cNvSpPr/>
      </xdr:nvSpPr>
      <xdr:spPr>
        <a:xfrm>
          <a:off x="19621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38100</xdr:colOff>
      <xdr:row>5</xdr:row>
      <xdr:rowOff>57150</xdr:rowOff>
    </xdr:from>
    <xdr:to>
      <xdr:col>15</xdr:col>
      <xdr:colOff>104775</xdr:colOff>
      <xdr:row>5</xdr:row>
      <xdr:rowOff>152400</xdr:rowOff>
    </xdr:to>
    <xdr:sp macro="" textlink="">
      <xdr:nvSpPr>
        <xdr:cNvPr id="256" name="Diagrama de flujo: conector 255">
          <a:extLst>
            <a:ext uri="{FF2B5EF4-FFF2-40B4-BE49-F238E27FC236}">
              <a16:creationId xmlns:a16="http://schemas.microsoft.com/office/drawing/2014/main" id="{36E65587-77E7-490A-A1BC-870129E8305E}"/>
            </a:ext>
          </a:extLst>
        </xdr:cNvPr>
        <xdr:cNvSpPr/>
      </xdr:nvSpPr>
      <xdr:spPr>
        <a:xfrm>
          <a:off x="19621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38100</xdr:colOff>
      <xdr:row>6</xdr:row>
      <xdr:rowOff>47625</xdr:rowOff>
    </xdr:from>
    <xdr:to>
      <xdr:col>15</xdr:col>
      <xdr:colOff>104775</xdr:colOff>
      <xdr:row>6</xdr:row>
      <xdr:rowOff>142875</xdr:rowOff>
    </xdr:to>
    <xdr:sp macro="" textlink="">
      <xdr:nvSpPr>
        <xdr:cNvPr id="257" name="Diagrama de flujo: conector 256">
          <a:extLst>
            <a:ext uri="{FF2B5EF4-FFF2-40B4-BE49-F238E27FC236}">
              <a16:creationId xmlns:a16="http://schemas.microsoft.com/office/drawing/2014/main" id="{5501071E-CBAD-48F2-B9A9-9A779295CEC9}"/>
            </a:ext>
          </a:extLst>
        </xdr:cNvPr>
        <xdr:cNvSpPr/>
      </xdr:nvSpPr>
      <xdr:spPr>
        <a:xfrm>
          <a:off x="196215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38100</xdr:colOff>
      <xdr:row>7</xdr:row>
      <xdr:rowOff>47625</xdr:rowOff>
    </xdr:from>
    <xdr:to>
      <xdr:col>15</xdr:col>
      <xdr:colOff>104775</xdr:colOff>
      <xdr:row>7</xdr:row>
      <xdr:rowOff>142875</xdr:rowOff>
    </xdr:to>
    <xdr:sp macro="" textlink="">
      <xdr:nvSpPr>
        <xdr:cNvPr id="258" name="Diagrama de flujo: conector 257">
          <a:extLst>
            <a:ext uri="{FF2B5EF4-FFF2-40B4-BE49-F238E27FC236}">
              <a16:creationId xmlns:a16="http://schemas.microsoft.com/office/drawing/2014/main" id="{42BFE72D-C06D-4829-81D6-01B9F2ADF012}"/>
            </a:ext>
          </a:extLst>
        </xdr:cNvPr>
        <xdr:cNvSpPr/>
      </xdr:nvSpPr>
      <xdr:spPr>
        <a:xfrm>
          <a:off x="19621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38100</xdr:colOff>
      <xdr:row>8</xdr:row>
      <xdr:rowOff>57150</xdr:rowOff>
    </xdr:from>
    <xdr:to>
      <xdr:col>15</xdr:col>
      <xdr:colOff>104775</xdr:colOff>
      <xdr:row>8</xdr:row>
      <xdr:rowOff>152400</xdr:rowOff>
    </xdr:to>
    <xdr:sp macro="" textlink="">
      <xdr:nvSpPr>
        <xdr:cNvPr id="259" name="Diagrama de flujo: conector 258">
          <a:extLst>
            <a:ext uri="{FF2B5EF4-FFF2-40B4-BE49-F238E27FC236}">
              <a16:creationId xmlns:a16="http://schemas.microsoft.com/office/drawing/2014/main" id="{65A2D262-A7C2-49A8-B53C-F9FF915898E8}"/>
            </a:ext>
          </a:extLst>
        </xdr:cNvPr>
        <xdr:cNvSpPr/>
      </xdr:nvSpPr>
      <xdr:spPr>
        <a:xfrm>
          <a:off x="19621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38100</xdr:colOff>
      <xdr:row>9</xdr:row>
      <xdr:rowOff>57150</xdr:rowOff>
    </xdr:from>
    <xdr:to>
      <xdr:col>15</xdr:col>
      <xdr:colOff>104775</xdr:colOff>
      <xdr:row>9</xdr:row>
      <xdr:rowOff>152400</xdr:rowOff>
    </xdr:to>
    <xdr:sp macro="" textlink="">
      <xdr:nvSpPr>
        <xdr:cNvPr id="260" name="Diagrama de flujo: conector 259">
          <a:extLst>
            <a:ext uri="{FF2B5EF4-FFF2-40B4-BE49-F238E27FC236}">
              <a16:creationId xmlns:a16="http://schemas.microsoft.com/office/drawing/2014/main" id="{F007B13B-AC51-4C6C-ABDD-3813BA05F89C}"/>
            </a:ext>
          </a:extLst>
        </xdr:cNvPr>
        <xdr:cNvSpPr/>
      </xdr:nvSpPr>
      <xdr:spPr>
        <a:xfrm>
          <a:off x="19621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38100</xdr:colOff>
      <xdr:row>10</xdr:row>
      <xdr:rowOff>47625</xdr:rowOff>
    </xdr:from>
    <xdr:to>
      <xdr:col>15</xdr:col>
      <xdr:colOff>104775</xdr:colOff>
      <xdr:row>10</xdr:row>
      <xdr:rowOff>142875</xdr:rowOff>
    </xdr:to>
    <xdr:sp macro="" textlink="">
      <xdr:nvSpPr>
        <xdr:cNvPr id="261" name="Diagrama de flujo: conector 260">
          <a:extLst>
            <a:ext uri="{FF2B5EF4-FFF2-40B4-BE49-F238E27FC236}">
              <a16:creationId xmlns:a16="http://schemas.microsoft.com/office/drawing/2014/main" id="{4E322C4E-9701-49BB-BE12-1CE54C7965AC}"/>
            </a:ext>
          </a:extLst>
        </xdr:cNvPr>
        <xdr:cNvSpPr/>
      </xdr:nvSpPr>
      <xdr:spPr>
        <a:xfrm>
          <a:off x="196215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38100</xdr:colOff>
      <xdr:row>12</xdr:row>
      <xdr:rowOff>47625</xdr:rowOff>
    </xdr:from>
    <xdr:to>
      <xdr:col>15</xdr:col>
      <xdr:colOff>104775</xdr:colOff>
      <xdr:row>12</xdr:row>
      <xdr:rowOff>142875</xdr:rowOff>
    </xdr:to>
    <xdr:sp macro="" textlink="">
      <xdr:nvSpPr>
        <xdr:cNvPr id="262" name="Diagrama de flujo: conector 261">
          <a:extLst>
            <a:ext uri="{FF2B5EF4-FFF2-40B4-BE49-F238E27FC236}">
              <a16:creationId xmlns:a16="http://schemas.microsoft.com/office/drawing/2014/main" id="{66D93D2D-ED6C-4EC6-9C69-0BD787AB5945}"/>
            </a:ext>
          </a:extLst>
        </xdr:cNvPr>
        <xdr:cNvSpPr/>
      </xdr:nvSpPr>
      <xdr:spPr>
        <a:xfrm>
          <a:off x="19621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28</xdr:col>
      <xdr:colOff>38100</xdr:colOff>
      <xdr:row>2</xdr:row>
      <xdr:rowOff>57150</xdr:rowOff>
    </xdr:from>
    <xdr:to>
      <xdr:col>28</xdr:col>
      <xdr:colOff>104775</xdr:colOff>
      <xdr:row>2</xdr:row>
      <xdr:rowOff>152400</xdr:rowOff>
    </xdr:to>
    <xdr:sp macro="" textlink="">
      <xdr:nvSpPr>
        <xdr:cNvPr id="263" name="Diagrama de flujo: conector 262">
          <a:extLst>
            <a:ext uri="{FF2B5EF4-FFF2-40B4-BE49-F238E27FC236}">
              <a16:creationId xmlns:a16="http://schemas.microsoft.com/office/drawing/2014/main" id="{CB23323C-A72B-4FCF-BF75-AEB2B3C80E96}"/>
            </a:ext>
          </a:extLst>
        </xdr:cNvPr>
        <xdr:cNvSpPr/>
      </xdr:nvSpPr>
      <xdr:spPr>
        <a:xfrm>
          <a:off x="20955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28</xdr:col>
      <xdr:colOff>38100</xdr:colOff>
      <xdr:row>3</xdr:row>
      <xdr:rowOff>57150</xdr:rowOff>
    </xdr:from>
    <xdr:to>
      <xdr:col>28</xdr:col>
      <xdr:colOff>104775</xdr:colOff>
      <xdr:row>3</xdr:row>
      <xdr:rowOff>152400</xdr:rowOff>
    </xdr:to>
    <xdr:sp macro="" textlink="">
      <xdr:nvSpPr>
        <xdr:cNvPr id="264" name="Diagrama de flujo: conector 263">
          <a:extLst>
            <a:ext uri="{FF2B5EF4-FFF2-40B4-BE49-F238E27FC236}">
              <a16:creationId xmlns:a16="http://schemas.microsoft.com/office/drawing/2014/main" id="{F5336D30-A8E7-4761-82C6-C507F01E1B74}"/>
            </a:ext>
          </a:extLst>
        </xdr:cNvPr>
        <xdr:cNvSpPr/>
      </xdr:nvSpPr>
      <xdr:spPr>
        <a:xfrm>
          <a:off x="20955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28</xdr:col>
      <xdr:colOff>38100</xdr:colOff>
      <xdr:row>4</xdr:row>
      <xdr:rowOff>57150</xdr:rowOff>
    </xdr:from>
    <xdr:to>
      <xdr:col>28</xdr:col>
      <xdr:colOff>104775</xdr:colOff>
      <xdr:row>4</xdr:row>
      <xdr:rowOff>152400</xdr:rowOff>
    </xdr:to>
    <xdr:sp macro="" textlink="">
      <xdr:nvSpPr>
        <xdr:cNvPr id="265" name="Diagrama de flujo: conector 264">
          <a:extLst>
            <a:ext uri="{FF2B5EF4-FFF2-40B4-BE49-F238E27FC236}">
              <a16:creationId xmlns:a16="http://schemas.microsoft.com/office/drawing/2014/main" id="{38981C09-A56C-443D-A2D7-F51F7E80E2A3}"/>
            </a:ext>
          </a:extLst>
        </xdr:cNvPr>
        <xdr:cNvSpPr/>
      </xdr:nvSpPr>
      <xdr:spPr>
        <a:xfrm>
          <a:off x="20955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28</xdr:col>
      <xdr:colOff>38100</xdr:colOff>
      <xdr:row>5</xdr:row>
      <xdr:rowOff>57150</xdr:rowOff>
    </xdr:from>
    <xdr:to>
      <xdr:col>28</xdr:col>
      <xdr:colOff>104775</xdr:colOff>
      <xdr:row>5</xdr:row>
      <xdr:rowOff>152400</xdr:rowOff>
    </xdr:to>
    <xdr:sp macro="" textlink="">
      <xdr:nvSpPr>
        <xdr:cNvPr id="266" name="Diagrama de flujo: conector 265">
          <a:extLst>
            <a:ext uri="{FF2B5EF4-FFF2-40B4-BE49-F238E27FC236}">
              <a16:creationId xmlns:a16="http://schemas.microsoft.com/office/drawing/2014/main" id="{8115A693-76AA-48F7-AB48-CFC3F30B58F7}"/>
            </a:ext>
          </a:extLst>
        </xdr:cNvPr>
        <xdr:cNvSpPr/>
      </xdr:nvSpPr>
      <xdr:spPr>
        <a:xfrm>
          <a:off x="20955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28</xdr:col>
      <xdr:colOff>38100</xdr:colOff>
      <xdr:row>6</xdr:row>
      <xdr:rowOff>47625</xdr:rowOff>
    </xdr:from>
    <xdr:to>
      <xdr:col>28</xdr:col>
      <xdr:colOff>104775</xdr:colOff>
      <xdr:row>6</xdr:row>
      <xdr:rowOff>142875</xdr:rowOff>
    </xdr:to>
    <xdr:sp macro="" textlink="">
      <xdr:nvSpPr>
        <xdr:cNvPr id="267" name="Diagrama de flujo: conector 266">
          <a:extLst>
            <a:ext uri="{FF2B5EF4-FFF2-40B4-BE49-F238E27FC236}">
              <a16:creationId xmlns:a16="http://schemas.microsoft.com/office/drawing/2014/main" id="{528BD04A-7AB5-4683-99C9-C1DB6D6D7CD3}"/>
            </a:ext>
          </a:extLst>
        </xdr:cNvPr>
        <xdr:cNvSpPr/>
      </xdr:nvSpPr>
      <xdr:spPr>
        <a:xfrm>
          <a:off x="209550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28</xdr:col>
      <xdr:colOff>38100</xdr:colOff>
      <xdr:row>7</xdr:row>
      <xdr:rowOff>47625</xdr:rowOff>
    </xdr:from>
    <xdr:to>
      <xdr:col>28</xdr:col>
      <xdr:colOff>104775</xdr:colOff>
      <xdr:row>7</xdr:row>
      <xdr:rowOff>142875</xdr:rowOff>
    </xdr:to>
    <xdr:sp macro="" textlink="">
      <xdr:nvSpPr>
        <xdr:cNvPr id="268" name="Diagrama de flujo: conector 267">
          <a:extLst>
            <a:ext uri="{FF2B5EF4-FFF2-40B4-BE49-F238E27FC236}">
              <a16:creationId xmlns:a16="http://schemas.microsoft.com/office/drawing/2014/main" id="{518C21A3-E8F4-4959-AD3C-44597FCF88CB}"/>
            </a:ext>
          </a:extLst>
        </xdr:cNvPr>
        <xdr:cNvSpPr/>
      </xdr:nvSpPr>
      <xdr:spPr>
        <a:xfrm>
          <a:off x="20955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28</xdr:col>
      <xdr:colOff>38100</xdr:colOff>
      <xdr:row>8</xdr:row>
      <xdr:rowOff>57150</xdr:rowOff>
    </xdr:from>
    <xdr:to>
      <xdr:col>28</xdr:col>
      <xdr:colOff>104775</xdr:colOff>
      <xdr:row>8</xdr:row>
      <xdr:rowOff>152400</xdr:rowOff>
    </xdr:to>
    <xdr:sp macro="" textlink="">
      <xdr:nvSpPr>
        <xdr:cNvPr id="269" name="Diagrama de flujo: conector 268">
          <a:extLst>
            <a:ext uri="{FF2B5EF4-FFF2-40B4-BE49-F238E27FC236}">
              <a16:creationId xmlns:a16="http://schemas.microsoft.com/office/drawing/2014/main" id="{91224EB3-C588-424F-8407-D09217F2687A}"/>
            </a:ext>
          </a:extLst>
        </xdr:cNvPr>
        <xdr:cNvSpPr/>
      </xdr:nvSpPr>
      <xdr:spPr>
        <a:xfrm>
          <a:off x="20955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28</xdr:col>
      <xdr:colOff>38100</xdr:colOff>
      <xdr:row>9</xdr:row>
      <xdr:rowOff>57150</xdr:rowOff>
    </xdr:from>
    <xdr:to>
      <xdr:col>28</xdr:col>
      <xdr:colOff>104775</xdr:colOff>
      <xdr:row>9</xdr:row>
      <xdr:rowOff>152400</xdr:rowOff>
    </xdr:to>
    <xdr:sp macro="" textlink="">
      <xdr:nvSpPr>
        <xdr:cNvPr id="270" name="Diagrama de flujo: conector 269">
          <a:extLst>
            <a:ext uri="{FF2B5EF4-FFF2-40B4-BE49-F238E27FC236}">
              <a16:creationId xmlns:a16="http://schemas.microsoft.com/office/drawing/2014/main" id="{C96E4971-37EF-4009-A77E-D543C165DB09}"/>
            </a:ext>
          </a:extLst>
        </xdr:cNvPr>
        <xdr:cNvSpPr/>
      </xdr:nvSpPr>
      <xdr:spPr>
        <a:xfrm>
          <a:off x="20955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28</xdr:col>
      <xdr:colOff>38100</xdr:colOff>
      <xdr:row>10</xdr:row>
      <xdr:rowOff>47625</xdr:rowOff>
    </xdr:from>
    <xdr:to>
      <xdr:col>28</xdr:col>
      <xdr:colOff>104775</xdr:colOff>
      <xdr:row>10</xdr:row>
      <xdr:rowOff>142875</xdr:rowOff>
    </xdr:to>
    <xdr:sp macro="" textlink="">
      <xdr:nvSpPr>
        <xdr:cNvPr id="271" name="Diagrama de flujo: conector 270">
          <a:extLst>
            <a:ext uri="{FF2B5EF4-FFF2-40B4-BE49-F238E27FC236}">
              <a16:creationId xmlns:a16="http://schemas.microsoft.com/office/drawing/2014/main" id="{F8F79AB5-C545-47C5-B779-AAABE0EA1E41}"/>
            </a:ext>
          </a:extLst>
        </xdr:cNvPr>
        <xdr:cNvSpPr/>
      </xdr:nvSpPr>
      <xdr:spPr>
        <a:xfrm>
          <a:off x="209550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28</xdr:col>
      <xdr:colOff>38100</xdr:colOff>
      <xdr:row>12</xdr:row>
      <xdr:rowOff>47625</xdr:rowOff>
    </xdr:from>
    <xdr:to>
      <xdr:col>28</xdr:col>
      <xdr:colOff>104775</xdr:colOff>
      <xdr:row>12</xdr:row>
      <xdr:rowOff>142875</xdr:rowOff>
    </xdr:to>
    <xdr:sp macro="" textlink="">
      <xdr:nvSpPr>
        <xdr:cNvPr id="272" name="Diagrama de flujo: conector 271">
          <a:extLst>
            <a:ext uri="{FF2B5EF4-FFF2-40B4-BE49-F238E27FC236}">
              <a16:creationId xmlns:a16="http://schemas.microsoft.com/office/drawing/2014/main" id="{8C6A8083-A369-456D-A300-21D6CD91AD6E}"/>
            </a:ext>
          </a:extLst>
        </xdr:cNvPr>
        <xdr:cNvSpPr/>
      </xdr:nvSpPr>
      <xdr:spPr>
        <a:xfrm>
          <a:off x="20955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29</xdr:col>
      <xdr:colOff>38100</xdr:colOff>
      <xdr:row>2</xdr:row>
      <xdr:rowOff>57150</xdr:rowOff>
    </xdr:from>
    <xdr:to>
      <xdr:col>29</xdr:col>
      <xdr:colOff>104775</xdr:colOff>
      <xdr:row>2</xdr:row>
      <xdr:rowOff>152400</xdr:rowOff>
    </xdr:to>
    <xdr:sp macro="" textlink="">
      <xdr:nvSpPr>
        <xdr:cNvPr id="273" name="Diagrama de flujo: conector 272">
          <a:extLst>
            <a:ext uri="{FF2B5EF4-FFF2-40B4-BE49-F238E27FC236}">
              <a16:creationId xmlns:a16="http://schemas.microsoft.com/office/drawing/2014/main" id="{617EF0D1-40D8-4DBC-ACAA-D331A397F24C}"/>
            </a:ext>
          </a:extLst>
        </xdr:cNvPr>
        <xdr:cNvSpPr/>
      </xdr:nvSpPr>
      <xdr:spPr>
        <a:xfrm>
          <a:off x="22288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29</xdr:col>
      <xdr:colOff>38100</xdr:colOff>
      <xdr:row>3</xdr:row>
      <xdr:rowOff>57150</xdr:rowOff>
    </xdr:from>
    <xdr:to>
      <xdr:col>29</xdr:col>
      <xdr:colOff>104775</xdr:colOff>
      <xdr:row>3</xdr:row>
      <xdr:rowOff>152400</xdr:rowOff>
    </xdr:to>
    <xdr:sp macro="" textlink="">
      <xdr:nvSpPr>
        <xdr:cNvPr id="274" name="Diagrama de flujo: conector 273">
          <a:extLst>
            <a:ext uri="{FF2B5EF4-FFF2-40B4-BE49-F238E27FC236}">
              <a16:creationId xmlns:a16="http://schemas.microsoft.com/office/drawing/2014/main" id="{0EBC511C-DD37-425E-A425-547EBD2D1878}"/>
            </a:ext>
          </a:extLst>
        </xdr:cNvPr>
        <xdr:cNvSpPr/>
      </xdr:nvSpPr>
      <xdr:spPr>
        <a:xfrm>
          <a:off x="22288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29</xdr:col>
      <xdr:colOff>38100</xdr:colOff>
      <xdr:row>4</xdr:row>
      <xdr:rowOff>57150</xdr:rowOff>
    </xdr:from>
    <xdr:to>
      <xdr:col>29</xdr:col>
      <xdr:colOff>104775</xdr:colOff>
      <xdr:row>4</xdr:row>
      <xdr:rowOff>152400</xdr:rowOff>
    </xdr:to>
    <xdr:sp macro="" textlink="">
      <xdr:nvSpPr>
        <xdr:cNvPr id="275" name="Diagrama de flujo: conector 274">
          <a:extLst>
            <a:ext uri="{FF2B5EF4-FFF2-40B4-BE49-F238E27FC236}">
              <a16:creationId xmlns:a16="http://schemas.microsoft.com/office/drawing/2014/main" id="{43C15B38-E4DE-4DD8-8D28-BCC65208FBB6}"/>
            </a:ext>
          </a:extLst>
        </xdr:cNvPr>
        <xdr:cNvSpPr/>
      </xdr:nvSpPr>
      <xdr:spPr>
        <a:xfrm>
          <a:off x="22288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29</xdr:col>
      <xdr:colOff>38100</xdr:colOff>
      <xdr:row>5</xdr:row>
      <xdr:rowOff>57150</xdr:rowOff>
    </xdr:from>
    <xdr:to>
      <xdr:col>29</xdr:col>
      <xdr:colOff>104775</xdr:colOff>
      <xdr:row>5</xdr:row>
      <xdr:rowOff>152400</xdr:rowOff>
    </xdr:to>
    <xdr:sp macro="" textlink="">
      <xdr:nvSpPr>
        <xdr:cNvPr id="276" name="Diagrama de flujo: conector 275">
          <a:extLst>
            <a:ext uri="{FF2B5EF4-FFF2-40B4-BE49-F238E27FC236}">
              <a16:creationId xmlns:a16="http://schemas.microsoft.com/office/drawing/2014/main" id="{47E17068-2820-4832-B6AB-AB8B92F4344E}"/>
            </a:ext>
          </a:extLst>
        </xdr:cNvPr>
        <xdr:cNvSpPr/>
      </xdr:nvSpPr>
      <xdr:spPr>
        <a:xfrm>
          <a:off x="22288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29</xdr:col>
      <xdr:colOff>38100</xdr:colOff>
      <xdr:row>6</xdr:row>
      <xdr:rowOff>47625</xdr:rowOff>
    </xdr:from>
    <xdr:to>
      <xdr:col>29</xdr:col>
      <xdr:colOff>104775</xdr:colOff>
      <xdr:row>6</xdr:row>
      <xdr:rowOff>142875</xdr:rowOff>
    </xdr:to>
    <xdr:sp macro="" textlink="">
      <xdr:nvSpPr>
        <xdr:cNvPr id="277" name="Diagrama de flujo: conector 276">
          <a:extLst>
            <a:ext uri="{FF2B5EF4-FFF2-40B4-BE49-F238E27FC236}">
              <a16:creationId xmlns:a16="http://schemas.microsoft.com/office/drawing/2014/main" id="{3F75DA73-8D9E-4083-A40B-F62ECDE05C82}"/>
            </a:ext>
          </a:extLst>
        </xdr:cNvPr>
        <xdr:cNvSpPr/>
      </xdr:nvSpPr>
      <xdr:spPr>
        <a:xfrm>
          <a:off x="222885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29</xdr:col>
      <xdr:colOff>38100</xdr:colOff>
      <xdr:row>7</xdr:row>
      <xdr:rowOff>47625</xdr:rowOff>
    </xdr:from>
    <xdr:to>
      <xdr:col>29</xdr:col>
      <xdr:colOff>104775</xdr:colOff>
      <xdr:row>7</xdr:row>
      <xdr:rowOff>142875</xdr:rowOff>
    </xdr:to>
    <xdr:sp macro="" textlink="">
      <xdr:nvSpPr>
        <xdr:cNvPr id="278" name="Diagrama de flujo: conector 277">
          <a:extLst>
            <a:ext uri="{FF2B5EF4-FFF2-40B4-BE49-F238E27FC236}">
              <a16:creationId xmlns:a16="http://schemas.microsoft.com/office/drawing/2014/main" id="{3F295D33-188C-4A4D-A55F-38D20457079F}"/>
            </a:ext>
          </a:extLst>
        </xdr:cNvPr>
        <xdr:cNvSpPr/>
      </xdr:nvSpPr>
      <xdr:spPr>
        <a:xfrm>
          <a:off x="22288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29</xdr:col>
      <xdr:colOff>38100</xdr:colOff>
      <xdr:row>8</xdr:row>
      <xdr:rowOff>57150</xdr:rowOff>
    </xdr:from>
    <xdr:to>
      <xdr:col>29</xdr:col>
      <xdr:colOff>104775</xdr:colOff>
      <xdr:row>8</xdr:row>
      <xdr:rowOff>152400</xdr:rowOff>
    </xdr:to>
    <xdr:sp macro="" textlink="">
      <xdr:nvSpPr>
        <xdr:cNvPr id="279" name="Diagrama de flujo: conector 278">
          <a:extLst>
            <a:ext uri="{FF2B5EF4-FFF2-40B4-BE49-F238E27FC236}">
              <a16:creationId xmlns:a16="http://schemas.microsoft.com/office/drawing/2014/main" id="{7CDDC2CA-9196-438B-B90B-E6D3FD20FC9E}"/>
            </a:ext>
          </a:extLst>
        </xdr:cNvPr>
        <xdr:cNvSpPr/>
      </xdr:nvSpPr>
      <xdr:spPr>
        <a:xfrm>
          <a:off x="22288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29</xdr:col>
      <xdr:colOff>38100</xdr:colOff>
      <xdr:row>9</xdr:row>
      <xdr:rowOff>57150</xdr:rowOff>
    </xdr:from>
    <xdr:to>
      <xdr:col>29</xdr:col>
      <xdr:colOff>104775</xdr:colOff>
      <xdr:row>9</xdr:row>
      <xdr:rowOff>152400</xdr:rowOff>
    </xdr:to>
    <xdr:sp macro="" textlink="">
      <xdr:nvSpPr>
        <xdr:cNvPr id="280" name="Diagrama de flujo: conector 279">
          <a:extLst>
            <a:ext uri="{FF2B5EF4-FFF2-40B4-BE49-F238E27FC236}">
              <a16:creationId xmlns:a16="http://schemas.microsoft.com/office/drawing/2014/main" id="{BD74A158-19C7-4DB4-BCAF-2A8E5CB61A96}"/>
            </a:ext>
          </a:extLst>
        </xdr:cNvPr>
        <xdr:cNvSpPr/>
      </xdr:nvSpPr>
      <xdr:spPr>
        <a:xfrm>
          <a:off x="22288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29</xdr:col>
      <xdr:colOff>38100</xdr:colOff>
      <xdr:row>10</xdr:row>
      <xdr:rowOff>47625</xdr:rowOff>
    </xdr:from>
    <xdr:to>
      <xdr:col>29</xdr:col>
      <xdr:colOff>104775</xdr:colOff>
      <xdr:row>10</xdr:row>
      <xdr:rowOff>142875</xdr:rowOff>
    </xdr:to>
    <xdr:sp macro="" textlink="">
      <xdr:nvSpPr>
        <xdr:cNvPr id="281" name="Diagrama de flujo: conector 280">
          <a:extLst>
            <a:ext uri="{FF2B5EF4-FFF2-40B4-BE49-F238E27FC236}">
              <a16:creationId xmlns:a16="http://schemas.microsoft.com/office/drawing/2014/main" id="{86CD23FA-2190-4419-9AF6-00D8D0D8EFA8}"/>
            </a:ext>
          </a:extLst>
        </xdr:cNvPr>
        <xdr:cNvSpPr/>
      </xdr:nvSpPr>
      <xdr:spPr>
        <a:xfrm>
          <a:off x="222885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29</xdr:col>
      <xdr:colOff>38100</xdr:colOff>
      <xdr:row>12</xdr:row>
      <xdr:rowOff>47625</xdr:rowOff>
    </xdr:from>
    <xdr:to>
      <xdr:col>29</xdr:col>
      <xdr:colOff>104775</xdr:colOff>
      <xdr:row>12</xdr:row>
      <xdr:rowOff>142875</xdr:rowOff>
    </xdr:to>
    <xdr:sp macro="" textlink="">
      <xdr:nvSpPr>
        <xdr:cNvPr id="282" name="Diagrama de flujo: conector 281">
          <a:extLst>
            <a:ext uri="{FF2B5EF4-FFF2-40B4-BE49-F238E27FC236}">
              <a16:creationId xmlns:a16="http://schemas.microsoft.com/office/drawing/2014/main" id="{45277F5A-22BB-4CA0-AC3C-1DB512CD5978}"/>
            </a:ext>
          </a:extLst>
        </xdr:cNvPr>
        <xdr:cNvSpPr/>
      </xdr:nvSpPr>
      <xdr:spPr>
        <a:xfrm>
          <a:off x="22288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30</xdr:col>
      <xdr:colOff>38100</xdr:colOff>
      <xdr:row>2</xdr:row>
      <xdr:rowOff>57150</xdr:rowOff>
    </xdr:from>
    <xdr:to>
      <xdr:col>30</xdr:col>
      <xdr:colOff>104775</xdr:colOff>
      <xdr:row>2</xdr:row>
      <xdr:rowOff>152400</xdr:rowOff>
    </xdr:to>
    <xdr:sp macro="" textlink="">
      <xdr:nvSpPr>
        <xdr:cNvPr id="283" name="Diagrama de flujo: conector 282">
          <a:extLst>
            <a:ext uri="{FF2B5EF4-FFF2-40B4-BE49-F238E27FC236}">
              <a16:creationId xmlns:a16="http://schemas.microsoft.com/office/drawing/2014/main" id="{67CB6A5D-A2A3-48FE-901A-1A99B6F44C6B}"/>
            </a:ext>
          </a:extLst>
        </xdr:cNvPr>
        <xdr:cNvSpPr/>
      </xdr:nvSpPr>
      <xdr:spPr>
        <a:xfrm>
          <a:off x="23622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30</xdr:col>
      <xdr:colOff>38100</xdr:colOff>
      <xdr:row>3</xdr:row>
      <xdr:rowOff>57150</xdr:rowOff>
    </xdr:from>
    <xdr:to>
      <xdr:col>30</xdr:col>
      <xdr:colOff>104775</xdr:colOff>
      <xdr:row>3</xdr:row>
      <xdr:rowOff>152400</xdr:rowOff>
    </xdr:to>
    <xdr:sp macro="" textlink="">
      <xdr:nvSpPr>
        <xdr:cNvPr id="284" name="Diagrama de flujo: conector 283">
          <a:extLst>
            <a:ext uri="{FF2B5EF4-FFF2-40B4-BE49-F238E27FC236}">
              <a16:creationId xmlns:a16="http://schemas.microsoft.com/office/drawing/2014/main" id="{B5FE06FB-374D-42C0-A5A4-053D64E3AFEF}"/>
            </a:ext>
          </a:extLst>
        </xdr:cNvPr>
        <xdr:cNvSpPr/>
      </xdr:nvSpPr>
      <xdr:spPr>
        <a:xfrm>
          <a:off x="23622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30</xdr:col>
      <xdr:colOff>38100</xdr:colOff>
      <xdr:row>4</xdr:row>
      <xdr:rowOff>57150</xdr:rowOff>
    </xdr:from>
    <xdr:to>
      <xdr:col>30</xdr:col>
      <xdr:colOff>104775</xdr:colOff>
      <xdr:row>4</xdr:row>
      <xdr:rowOff>152400</xdr:rowOff>
    </xdr:to>
    <xdr:sp macro="" textlink="">
      <xdr:nvSpPr>
        <xdr:cNvPr id="285" name="Diagrama de flujo: conector 284">
          <a:extLst>
            <a:ext uri="{FF2B5EF4-FFF2-40B4-BE49-F238E27FC236}">
              <a16:creationId xmlns:a16="http://schemas.microsoft.com/office/drawing/2014/main" id="{86AEC0C2-798E-4F8A-9F6D-2B4393822D41}"/>
            </a:ext>
          </a:extLst>
        </xdr:cNvPr>
        <xdr:cNvSpPr/>
      </xdr:nvSpPr>
      <xdr:spPr>
        <a:xfrm>
          <a:off x="23622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30</xdr:col>
      <xdr:colOff>38100</xdr:colOff>
      <xdr:row>5</xdr:row>
      <xdr:rowOff>57150</xdr:rowOff>
    </xdr:from>
    <xdr:to>
      <xdr:col>30</xdr:col>
      <xdr:colOff>104775</xdr:colOff>
      <xdr:row>5</xdr:row>
      <xdr:rowOff>152400</xdr:rowOff>
    </xdr:to>
    <xdr:sp macro="" textlink="">
      <xdr:nvSpPr>
        <xdr:cNvPr id="286" name="Diagrama de flujo: conector 285">
          <a:extLst>
            <a:ext uri="{FF2B5EF4-FFF2-40B4-BE49-F238E27FC236}">
              <a16:creationId xmlns:a16="http://schemas.microsoft.com/office/drawing/2014/main" id="{AB5722D0-B1A8-41C4-A85E-555499DA8EAD}"/>
            </a:ext>
          </a:extLst>
        </xdr:cNvPr>
        <xdr:cNvSpPr/>
      </xdr:nvSpPr>
      <xdr:spPr>
        <a:xfrm>
          <a:off x="23622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30</xdr:col>
      <xdr:colOff>38100</xdr:colOff>
      <xdr:row>6</xdr:row>
      <xdr:rowOff>47625</xdr:rowOff>
    </xdr:from>
    <xdr:to>
      <xdr:col>30</xdr:col>
      <xdr:colOff>104775</xdr:colOff>
      <xdr:row>6</xdr:row>
      <xdr:rowOff>142875</xdr:rowOff>
    </xdr:to>
    <xdr:sp macro="" textlink="">
      <xdr:nvSpPr>
        <xdr:cNvPr id="287" name="Diagrama de flujo: conector 286">
          <a:extLst>
            <a:ext uri="{FF2B5EF4-FFF2-40B4-BE49-F238E27FC236}">
              <a16:creationId xmlns:a16="http://schemas.microsoft.com/office/drawing/2014/main" id="{61BC5EFE-CF0C-4F2B-8748-1A1E66C9C75B}"/>
            </a:ext>
          </a:extLst>
        </xdr:cNvPr>
        <xdr:cNvSpPr/>
      </xdr:nvSpPr>
      <xdr:spPr>
        <a:xfrm>
          <a:off x="236220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30</xdr:col>
      <xdr:colOff>38100</xdr:colOff>
      <xdr:row>7</xdr:row>
      <xdr:rowOff>47625</xdr:rowOff>
    </xdr:from>
    <xdr:to>
      <xdr:col>30</xdr:col>
      <xdr:colOff>104775</xdr:colOff>
      <xdr:row>7</xdr:row>
      <xdr:rowOff>142875</xdr:rowOff>
    </xdr:to>
    <xdr:sp macro="" textlink="">
      <xdr:nvSpPr>
        <xdr:cNvPr id="288" name="Diagrama de flujo: conector 287">
          <a:extLst>
            <a:ext uri="{FF2B5EF4-FFF2-40B4-BE49-F238E27FC236}">
              <a16:creationId xmlns:a16="http://schemas.microsoft.com/office/drawing/2014/main" id="{3C00159F-760C-4BAE-89CC-AE6096508C71}"/>
            </a:ext>
          </a:extLst>
        </xdr:cNvPr>
        <xdr:cNvSpPr/>
      </xdr:nvSpPr>
      <xdr:spPr>
        <a:xfrm>
          <a:off x="23622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30</xdr:col>
      <xdr:colOff>38100</xdr:colOff>
      <xdr:row>8</xdr:row>
      <xdr:rowOff>57150</xdr:rowOff>
    </xdr:from>
    <xdr:to>
      <xdr:col>30</xdr:col>
      <xdr:colOff>104775</xdr:colOff>
      <xdr:row>8</xdr:row>
      <xdr:rowOff>152400</xdr:rowOff>
    </xdr:to>
    <xdr:sp macro="" textlink="">
      <xdr:nvSpPr>
        <xdr:cNvPr id="289" name="Diagrama de flujo: conector 288">
          <a:extLst>
            <a:ext uri="{FF2B5EF4-FFF2-40B4-BE49-F238E27FC236}">
              <a16:creationId xmlns:a16="http://schemas.microsoft.com/office/drawing/2014/main" id="{8189A5E7-65C0-4FF2-96FD-D03F17EA826E}"/>
            </a:ext>
          </a:extLst>
        </xdr:cNvPr>
        <xdr:cNvSpPr/>
      </xdr:nvSpPr>
      <xdr:spPr>
        <a:xfrm>
          <a:off x="23622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30</xdr:col>
      <xdr:colOff>38100</xdr:colOff>
      <xdr:row>9</xdr:row>
      <xdr:rowOff>57150</xdr:rowOff>
    </xdr:from>
    <xdr:to>
      <xdr:col>30</xdr:col>
      <xdr:colOff>104775</xdr:colOff>
      <xdr:row>9</xdr:row>
      <xdr:rowOff>152400</xdr:rowOff>
    </xdr:to>
    <xdr:sp macro="" textlink="">
      <xdr:nvSpPr>
        <xdr:cNvPr id="290" name="Diagrama de flujo: conector 289">
          <a:extLst>
            <a:ext uri="{FF2B5EF4-FFF2-40B4-BE49-F238E27FC236}">
              <a16:creationId xmlns:a16="http://schemas.microsoft.com/office/drawing/2014/main" id="{4BC130F9-B071-4FB3-B9CE-576BD9C59909}"/>
            </a:ext>
          </a:extLst>
        </xdr:cNvPr>
        <xdr:cNvSpPr/>
      </xdr:nvSpPr>
      <xdr:spPr>
        <a:xfrm>
          <a:off x="23622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30</xdr:col>
      <xdr:colOff>38100</xdr:colOff>
      <xdr:row>10</xdr:row>
      <xdr:rowOff>47625</xdr:rowOff>
    </xdr:from>
    <xdr:to>
      <xdr:col>30</xdr:col>
      <xdr:colOff>104775</xdr:colOff>
      <xdr:row>10</xdr:row>
      <xdr:rowOff>142875</xdr:rowOff>
    </xdr:to>
    <xdr:sp macro="" textlink="">
      <xdr:nvSpPr>
        <xdr:cNvPr id="291" name="Diagrama de flujo: conector 290">
          <a:extLst>
            <a:ext uri="{FF2B5EF4-FFF2-40B4-BE49-F238E27FC236}">
              <a16:creationId xmlns:a16="http://schemas.microsoft.com/office/drawing/2014/main" id="{8C5F157A-AE87-48BD-BAF3-79B46E3E9153}"/>
            </a:ext>
          </a:extLst>
        </xdr:cNvPr>
        <xdr:cNvSpPr/>
      </xdr:nvSpPr>
      <xdr:spPr>
        <a:xfrm>
          <a:off x="236220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30</xdr:col>
      <xdr:colOff>38100</xdr:colOff>
      <xdr:row>12</xdr:row>
      <xdr:rowOff>47625</xdr:rowOff>
    </xdr:from>
    <xdr:to>
      <xdr:col>30</xdr:col>
      <xdr:colOff>104775</xdr:colOff>
      <xdr:row>12</xdr:row>
      <xdr:rowOff>142875</xdr:rowOff>
    </xdr:to>
    <xdr:sp macro="" textlink="">
      <xdr:nvSpPr>
        <xdr:cNvPr id="292" name="Diagrama de flujo: conector 291">
          <a:extLst>
            <a:ext uri="{FF2B5EF4-FFF2-40B4-BE49-F238E27FC236}">
              <a16:creationId xmlns:a16="http://schemas.microsoft.com/office/drawing/2014/main" id="{5A295B32-7949-4E5D-87F2-1C024DFA98AF}"/>
            </a:ext>
          </a:extLst>
        </xdr:cNvPr>
        <xdr:cNvSpPr/>
      </xdr:nvSpPr>
      <xdr:spPr>
        <a:xfrm>
          <a:off x="23622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31</xdr:col>
      <xdr:colOff>38100</xdr:colOff>
      <xdr:row>2</xdr:row>
      <xdr:rowOff>57150</xdr:rowOff>
    </xdr:from>
    <xdr:to>
      <xdr:col>31</xdr:col>
      <xdr:colOff>104775</xdr:colOff>
      <xdr:row>2</xdr:row>
      <xdr:rowOff>152400</xdr:rowOff>
    </xdr:to>
    <xdr:sp macro="" textlink="">
      <xdr:nvSpPr>
        <xdr:cNvPr id="293" name="Diagrama de flujo: conector 292">
          <a:extLst>
            <a:ext uri="{FF2B5EF4-FFF2-40B4-BE49-F238E27FC236}">
              <a16:creationId xmlns:a16="http://schemas.microsoft.com/office/drawing/2014/main" id="{CBDEED34-A91A-4AEE-A1CE-15723A70619E}"/>
            </a:ext>
          </a:extLst>
        </xdr:cNvPr>
        <xdr:cNvSpPr/>
      </xdr:nvSpPr>
      <xdr:spPr>
        <a:xfrm>
          <a:off x="24955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31</xdr:col>
      <xdr:colOff>38100</xdr:colOff>
      <xdr:row>3</xdr:row>
      <xdr:rowOff>57150</xdr:rowOff>
    </xdr:from>
    <xdr:to>
      <xdr:col>31</xdr:col>
      <xdr:colOff>104775</xdr:colOff>
      <xdr:row>3</xdr:row>
      <xdr:rowOff>152400</xdr:rowOff>
    </xdr:to>
    <xdr:sp macro="" textlink="">
      <xdr:nvSpPr>
        <xdr:cNvPr id="294" name="Diagrama de flujo: conector 293">
          <a:extLst>
            <a:ext uri="{FF2B5EF4-FFF2-40B4-BE49-F238E27FC236}">
              <a16:creationId xmlns:a16="http://schemas.microsoft.com/office/drawing/2014/main" id="{6EEA243D-7CCE-40E9-9946-51515488A25D}"/>
            </a:ext>
          </a:extLst>
        </xdr:cNvPr>
        <xdr:cNvSpPr/>
      </xdr:nvSpPr>
      <xdr:spPr>
        <a:xfrm>
          <a:off x="24955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31</xdr:col>
      <xdr:colOff>38100</xdr:colOff>
      <xdr:row>4</xdr:row>
      <xdr:rowOff>57150</xdr:rowOff>
    </xdr:from>
    <xdr:to>
      <xdr:col>31</xdr:col>
      <xdr:colOff>104775</xdr:colOff>
      <xdr:row>4</xdr:row>
      <xdr:rowOff>152400</xdr:rowOff>
    </xdr:to>
    <xdr:sp macro="" textlink="">
      <xdr:nvSpPr>
        <xdr:cNvPr id="295" name="Diagrama de flujo: conector 294">
          <a:extLst>
            <a:ext uri="{FF2B5EF4-FFF2-40B4-BE49-F238E27FC236}">
              <a16:creationId xmlns:a16="http://schemas.microsoft.com/office/drawing/2014/main" id="{B9797C6E-7473-4297-B446-7222CB1AE5B4}"/>
            </a:ext>
          </a:extLst>
        </xdr:cNvPr>
        <xdr:cNvSpPr/>
      </xdr:nvSpPr>
      <xdr:spPr>
        <a:xfrm>
          <a:off x="24955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31</xdr:col>
      <xdr:colOff>38100</xdr:colOff>
      <xdr:row>5</xdr:row>
      <xdr:rowOff>57150</xdr:rowOff>
    </xdr:from>
    <xdr:to>
      <xdr:col>31</xdr:col>
      <xdr:colOff>104775</xdr:colOff>
      <xdr:row>5</xdr:row>
      <xdr:rowOff>152400</xdr:rowOff>
    </xdr:to>
    <xdr:sp macro="" textlink="">
      <xdr:nvSpPr>
        <xdr:cNvPr id="296" name="Diagrama de flujo: conector 295">
          <a:extLst>
            <a:ext uri="{FF2B5EF4-FFF2-40B4-BE49-F238E27FC236}">
              <a16:creationId xmlns:a16="http://schemas.microsoft.com/office/drawing/2014/main" id="{197EF60E-7F33-40AF-B57F-52745635A236}"/>
            </a:ext>
          </a:extLst>
        </xdr:cNvPr>
        <xdr:cNvSpPr/>
      </xdr:nvSpPr>
      <xdr:spPr>
        <a:xfrm>
          <a:off x="24955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31</xdr:col>
      <xdr:colOff>38100</xdr:colOff>
      <xdr:row>6</xdr:row>
      <xdr:rowOff>47625</xdr:rowOff>
    </xdr:from>
    <xdr:to>
      <xdr:col>31</xdr:col>
      <xdr:colOff>104775</xdr:colOff>
      <xdr:row>6</xdr:row>
      <xdr:rowOff>142875</xdr:rowOff>
    </xdr:to>
    <xdr:sp macro="" textlink="">
      <xdr:nvSpPr>
        <xdr:cNvPr id="297" name="Diagrama de flujo: conector 296">
          <a:extLst>
            <a:ext uri="{FF2B5EF4-FFF2-40B4-BE49-F238E27FC236}">
              <a16:creationId xmlns:a16="http://schemas.microsoft.com/office/drawing/2014/main" id="{18035AFB-D345-4AE5-80FD-22DF485FB9CD}"/>
            </a:ext>
          </a:extLst>
        </xdr:cNvPr>
        <xdr:cNvSpPr/>
      </xdr:nvSpPr>
      <xdr:spPr>
        <a:xfrm>
          <a:off x="249555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31</xdr:col>
      <xdr:colOff>38100</xdr:colOff>
      <xdr:row>7</xdr:row>
      <xdr:rowOff>47625</xdr:rowOff>
    </xdr:from>
    <xdr:to>
      <xdr:col>31</xdr:col>
      <xdr:colOff>104775</xdr:colOff>
      <xdr:row>7</xdr:row>
      <xdr:rowOff>142875</xdr:rowOff>
    </xdr:to>
    <xdr:sp macro="" textlink="">
      <xdr:nvSpPr>
        <xdr:cNvPr id="298" name="Diagrama de flujo: conector 297">
          <a:extLst>
            <a:ext uri="{FF2B5EF4-FFF2-40B4-BE49-F238E27FC236}">
              <a16:creationId xmlns:a16="http://schemas.microsoft.com/office/drawing/2014/main" id="{5B8E0C13-2885-430D-B0E6-94BC6EBCD236}"/>
            </a:ext>
          </a:extLst>
        </xdr:cNvPr>
        <xdr:cNvSpPr/>
      </xdr:nvSpPr>
      <xdr:spPr>
        <a:xfrm>
          <a:off x="24955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31</xdr:col>
      <xdr:colOff>38100</xdr:colOff>
      <xdr:row>8</xdr:row>
      <xdr:rowOff>57150</xdr:rowOff>
    </xdr:from>
    <xdr:to>
      <xdr:col>31</xdr:col>
      <xdr:colOff>104775</xdr:colOff>
      <xdr:row>8</xdr:row>
      <xdr:rowOff>152400</xdr:rowOff>
    </xdr:to>
    <xdr:sp macro="" textlink="">
      <xdr:nvSpPr>
        <xdr:cNvPr id="299" name="Diagrama de flujo: conector 298">
          <a:extLst>
            <a:ext uri="{FF2B5EF4-FFF2-40B4-BE49-F238E27FC236}">
              <a16:creationId xmlns:a16="http://schemas.microsoft.com/office/drawing/2014/main" id="{744ECAC5-9F64-41B0-A3B4-01CA68D1D079}"/>
            </a:ext>
          </a:extLst>
        </xdr:cNvPr>
        <xdr:cNvSpPr/>
      </xdr:nvSpPr>
      <xdr:spPr>
        <a:xfrm>
          <a:off x="24955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31</xdr:col>
      <xdr:colOff>38100</xdr:colOff>
      <xdr:row>9</xdr:row>
      <xdr:rowOff>57150</xdr:rowOff>
    </xdr:from>
    <xdr:to>
      <xdr:col>31</xdr:col>
      <xdr:colOff>104775</xdr:colOff>
      <xdr:row>9</xdr:row>
      <xdr:rowOff>152400</xdr:rowOff>
    </xdr:to>
    <xdr:sp macro="" textlink="">
      <xdr:nvSpPr>
        <xdr:cNvPr id="300" name="Diagrama de flujo: conector 299">
          <a:extLst>
            <a:ext uri="{FF2B5EF4-FFF2-40B4-BE49-F238E27FC236}">
              <a16:creationId xmlns:a16="http://schemas.microsoft.com/office/drawing/2014/main" id="{46751585-E1AE-4014-9E14-DF4DA2C7388C}"/>
            </a:ext>
          </a:extLst>
        </xdr:cNvPr>
        <xdr:cNvSpPr/>
      </xdr:nvSpPr>
      <xdr:spPr>
        <a:xfrm>
          <a:off x="24955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31</xdr:col>
      <xdr:colOff>38100</xdr:colOff>
      <xdr:row>10</xdr:row>
      <xdr:rowOff>47625</xdr:rowOff>
    </xdr:from>
    <xdr:to>
      <xdr:col>31</xdr:col>
      <xdr:colOff>104775</xdr:colOff>
      <xdr:row>10</xdr:row>
      <xdr:rowOff>142875</xdr:rowOff>
    </xdr:to>
    <xdr:sp macro="" textlink="">
      <xdr:nvSpPr>
        <xdr:cNvPr id="301" name="Diagrama de flujo: conector 300">
          <a:extLst>
            <a:ext uri="{FF2B5EF4-FFF2-40B4-BE49-F238E27FC236}">
              <a16:creationId xmlns:a16="http://schemas.microsoft.com/office/drawing/2014/main" id="{7F229E5E-E493-4764-92D6-021D3D2905EA}"/>
            </a:ext>
          </a:extLst>
        </xdr:cNvPr>
        <xdr:cNvSpPr/>
      </xdr:nvSpPr>
      <xdr:spPr>
        <a:xfrm>
          <a:off x="249555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31</xdr:col>
      <xdr:colOff>38100</xdr:colOff>
      <xdr:row>12</xdr:row>
      <xdr:rowOff>47625</xdr:rowOff>
    </xdr:from>
    <xdr:to>
      <xdr:col>31</xdr:col>
      <xdr:colOff>104775</xdr:colOff>
      <xdr:row>12</xdr:row>
      <xdr:rowOff>142875</xdr:rowOff>
    </xdr:to>
    <xdr:sp macro="" textlink="">
      <xdr:nvSpPr>
        <xdr:cNvPr id="302" name="Diagrama de flujo: conector 301">
          <a:extLst>
            <a:ext uri="{FF2B5EF4-FFF2-40B4-BE49-F238E27FC236}">
              <a16:creationId xmlns:a16="http://schemas.microsoft.com/office/drawing/2014/main" id="{B6A6490D-4A01-4A9F-B329-899E0EF90FA3}"/>
            </a:ext>
          </a:extLst>
        </xdr:cNvPr>
        <xdr:cNvSpPr/>
      </xdr:nvSpPr>
      <xdr:spPr>
        <a:xfrm>
          <a:off x="24955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32</xdr:col>
      <xdr:colOff>38100</xdr:colOff>
      <xdr:row>2</xdr:row>
      <xdr:rowOff>57150</xdr:rowOff>
    </xdr:from>
    <xdr:to>
      <xdr:col>32</xdr:col>
      <xdr:colOff>104775</xdr:colOff>
      <xdr:row>2</xdr:row>
      <xdr:rowOff>152400</xdr:rowOff>
    </xdr:to>
    <xdr:sp macro="" textlink="">
      <xdr:nvSpPr>
        <xdr:cNvPr id="303" name="Diagrama de flujo: conector 302">
          <a:extLst>
            <a:ext uri="{FF2B5EF4-FFF2-40B4-BE49-F238E27FC236}">
              <a16:creationId xmlns:a16="http://schemas.microsoft.com/office/drawing/2014/main" id="{44BE4A03-344E-4892-B5C2-00E82E630FE5}"/>
            </a:ext>
          </a:extLst>
        </xdr:cNvPr>
        <xdr:cNvSpPr/>
      </xdr:nvSpPr>
      <xdr:spPr>
        <a:xfrm>
          <a:off x="26289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32</xdr:col>
      <xdr:colOff>38100</xdr:colOff>
      <xdr:row>3</xdr:row>
      <xdr:rowOff>57150</xdr:rowOff>
    </xdr:from>
    <xdr:to>
      <xdr:col>32</xdr:col>
      <xdr:colOff>104775</xdr:colOff>
      <xdr:row>3</xdr:row>
      <xdr:rowOff>152400</xdr:rowOff>
    </xdr:to>
    <xdr:sp macro="" textlink="">
      <xdr:nvSpPr>
        <xdr:cNvPr id="304" name="Diagrama de flujo: conector 303">
          <a:extLst>
            <a:ext uri="{FF2B5EF4-FFF2-40B4-BE49-F238E27FC236}">
              <a16:creationId xmlns:a16="http://schemas.microsoft.com/office/drawing/2014/main" id="{66D033DF-D905-456E-8913-C2B2377EFCBE}"/>
            </a:ext>
          </a:extLst>
        </xdr:cNvPr>
        <xdr:cNvSpPr/>
      </xdr:nvSpPr>
      <xdr:spPr>
        <a:xfrm>
          <a:off x="26289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32</xdr:col>
      <xdr:colOff>38100</xdr:colOff>
      <xdr:row>4</xdr:row>
      <xdr:rowOff>57150</xdr:rowOff>
    </xdr:from>
    <xdr:to>
      <xdr:col>32</xdr:col>
      <xdr:colOff>104775</xdr:colOff>
      <xdr:row>4</xdr:row>
      <xdr:rowOff>152400</xdr:rowOff>
    </xdr:to>
    <xdr:sp macro="" textlink="">
      <xdr:nvSpPr>
        <xdr:cNvPr id="305" name="Diagrama de flujo: conector 304">
          <a:extLst>
            <a:ext uri="{FF2B5EF4-FFF2-40B4-BE49-F238E27FC236}">
              <a16:creationId xmlns:a16="http://schemas.microsoft.com/office/drawing/2014/main" id="{8112586D-AEC8-4815-B2C3-0E37F11E65AD}"/>
            </a:ext>
          </a:extLst>
        </xdr:cNvPr>
        <xdr:cNvSpPr/>
      </xdr:nvSpPr>
      <xdr:spPr>
        <a:xfrm>
          <a:off x="26289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32</xdr:col>
      <xdr:colOff>38100</xdr:colOff>
      <xdr:row>5</xdr:row>
      <xdr:rowOff>57150</xdr:rowOff>
    </xdr:from>
    <xdr:to>
      <xdr:col>32</xdr:col>
      <xdr:colOff>104775</xdr:colOff>
      <xdr:row>5</xdr:row>
      <xdr:rowOff>152400</xdr:rowOff>
    </xdr:to>
    <xdr:sp macro="" textlink="">
      <xdr:nvSpPr>
        <xdr:cNvPr id="306" name="Diagrama de flujo: conector 305">
          <a:extLst>
            <a:ext uri="{FF2B5EF4-FFF2-40B4-BE49-F238E27FC236}">
              <a16:creationId xmlns:a16="http://schemas.microsoft.com/office/drawing/2014/main" id="{A152BEA0-7245-4387-AF1C-67C4A463446A}"/>
            </a:ext>
          </a:extLst>
        </xdr:cNvPr>
        <xdr:cNvSpPr/>
      </xdr:nvSpPr>
      <xdr:spPr>
        <a:xfrm>
          <a:off x="26289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32</xdr:col>
      <xdr:colOff>38100</xdr:colOff>
      <xdr:row>6</xdr:row>
      <xdr:rowOff>47625</xdr:rowOff>
    </xdr:from>
    <xdr:to>
      <xdr:col>32</xdr:col>
      <xdr:colOff>104775</xdr:colOff>
      <xdr:row>6</xdr:row>
      <xdr:rowOff>142875</xdr:rowOff>
    </xdr:to>
    <xdr:sp macro="" textlink="">
      <xdr:nvSpPr>
        <xdr:cNvPr id="307" name="Diagrama de flujo: conector 306">
          <a:extLst>
            <a:ext uri="{FF2B5EF4-FFF2-40B4-BE49-F238E27FC236}">
              <a16:creationId xmlns:a16="http://schemas.microsoft.com/office/drawing/2014/main" id="{0C7CA7DE-0285-4B98-8E79-BF1F05DC96A8}"/>
            </a:ext>
          </a:extLst>
        </xdr:cNvPr>
        <xdr:cNvSpPr/>
      </xdr:nvSpPr>
      <xdr:spPr>
        <a:xfrm>
          <a:off x="262890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32</xdr:col>
      <xdr:colOff>38100</xdr:colOff>
      <xdr:row>7</xdr:row>
      <xdr:rowOff>47625</xdr:rowOff>
    </xdr:from>
    <xdr:to>
      <xdr:col>32</xdr:col>
      <xdr:colOff>104775</xdr:colOff>
      <xdr:row>7</xdr:row>
      <xdr:rowOff>142875</xdr:rowOff>
    </xdr:to>
    <xdr:sp macro="" textlink="">
      <xdr:nvSpPr>
        <xdr:cNvPr id="308" name="Diagrama de flujo: conector 307">
          <a:extLst>
            <a:ext uri="{FF2B5EF4-FFF2-40B4-BE49-F238E27FC236}">
              <a16:creationId xmlns:a16="http://schemas.microsoft.com/office/drawing/2014/main" id="{B6E1EE1A-6800-4BAD-9752-B92E917CF692}"/>
            </a:ext>
          </a:extLst>
        </xdr:cNvPr>
        <xdr:cNvSpPr/>
      </xdr:nvSpPr>
      <xdr:spPr>
        <a:xfrm>
          <a:off x="26289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32</xdr:col>
      <xdr:colOff>38100</xdr:colOff>
      <xdr:row>8</xdr:row>
      <xdr:rowOff>57150</xdr:rowOff>
    </xdr:from>
    <xdr:to>
      <xdr:col>32</xdr:col>
      <xdr:colOff>104775</xdr:colOff>
      <xdr:row>8</xdr:row>
      <xdr:rowOff>152400</xdr:rowOff>
    </xdr:to>
    <xdr:sp macro="" textlink="">
      <xdr:nvSpPr>
        <xdr:cNvPr id="309" name="Diagrama de flujo: conector 308">
          <a:extLst>
            <a:ext uri="{FF2B5EF4-FFF2-40B4-BE49-F238E27FC236}">
              <a16:creationId xmlns:a16="http://schemas.microsoft.com/office/drawing/2014/main" id="{806B4117-D0CF-490F-85B9-A0D930A575C0}"/>
            </a:ext>
          </a:extLst>
        </xdr:cNvPr>
        <xdr:cNvSpPr/>
      </xdr:nvSpPr>
      <xdr:spPr>
        <a:xfrm>
          <a:off x="26289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32</xdr:col>
      <xdr:colOff>38100</xdr:colOff>
      <xdr:row>9</xdr:row>
      <xdr:rowOff>57150</xdr:rowOff>
    </xdr:from>
    <xdr:to>
      <xdr:col>32</xdr:col>
      <xdr:colOff>104775</xdr:colOff>
      <xdr:row>9</xdr:row>
      <xdr:rowOff>152400</xdr:rowOff>
    </xdr:to>
    <xdr:sp macro="" textlink="">
      <xdr:nvSpPr>
        <xdr:cNvPr id="310" name="Diagrama de flujo: conector 309">
          <a:extLst>
            <a:ext uri="{FF2B5EF4-FFF2-40B4-BE49-F238E27FC236}">
              <a16:creationId xmlns:a16="http://schemas.microsoft.com/office/drawing/2014/main" id="{7F93B58D-5F8C-4AFD-934B-3C842B7C190C}"/>
            </a:ext>
          </a:extLst>
        </xdr:cNvPr>
        <xdr:cNvSpPr/>
      </xdr:nvSpPr>
      <xdr:spPr>
        <a:xfrm>
          <a:off x="26289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32</xdr:col>
      <xdr:colOff>38100</xdr:colOff>
      <xdr:row>10</xdr:row>
      <xdr:rowOff>47625</xdr:rowOff>
    </xdr:from>
    <xdr:to>
      <xdr:col>32</xdr:col>
      <xdr:colOff>104775</xdr:colOff>
      <xdr:row>10</xdr:row>
      <xdr:rowOff>142875</xdr:rowOff>
    </xdr:to>
    <xdr:sp macro="" textlink="">
      <xdr:nvSpPr>
        <xdr:cNvPr id="311" name="Diagrama de flujo: conector 310">
          <a:extLst>
            <a:ext uri="{FF2B5EF4-FFF2-40B4-BE49-F238E27FC236}">
              <a16:creationId xmlns:a16="http://schemas.microsoft.com/office/drawing/2014/main" id="{183717D8-23FB-4052-8E18-517E148AEDED}"/>
            </a:ext>
          </a:extLst>
        </xdr:cNvPr>
        <xdr:cNvSpPr/>
      </xdr:nvSpPr>
      <xdr:spPr>
        <a:xfrm>
          <a:off x="262890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32</xdr:col>
      <xdr:colOff>38100</xdr:colOff>
      <xdr:row>12</xdr:row>
      <xdr:rowOff>47625</xdr:rowOff>
    </xdr:from>
    <xdr:to>
      <xdr:col>32</xdr:col>
      <xdr:colOff>104775</xdr:colOff>
      <xdr:row>12</xdr:row>
      <xdr:rowOff>142875</xdr:rowOff>
    </xdr:to>
    <xdr:sp macro="" textlink="">
      <xdr:nvSpPr>
        <xdr:cNvPr id="312" name="Diagrama de flujo: conector 311">
          <a:extLst>
            <a:ext uri="{FF2B5EF4-FFF2-40B4-BE49-F238E27FC236}">
              <a16:creationId xmlns:a16="http://schemas.microsoft.com/office/drawing/2014/main" id="{A8D531EB-0AB6-4243-AEE9-35AD51E86400}"/>
            </a:ext>
          </a:extLst>
        </xdr:cNvPr>
        <xdr:cNvSpPr/>
      </xdr:nvSpPr>
      <xdr:spPr>
        <a:xfrm>
          <a:off x="26289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33</xdr:col>
      <xdr:colOff>38100</xdr:colOff>
      <xdr:row>2</xdr:row>
      <xdr:rowOff>57150</xdr:rowOff>
    </xdr:from>
    <xdr:to>
      <xdr:col>33</xdr:col>
      <xdr:colOff>104775</xdr:colOff>
      <xdr:row>2</xdr:row>
      <xdr:rowOff>152400</xdr:rowOff>
    </xdr:to>
    <xdr:sp macro="" textlink="">
      <xdr:nvSpPr>
        <xdr:cNvPr id="313" name="Diagrama de flujo: conector 312">
          <a:extLst>
            <a:ext uri="{FF2B5EF4-FFF2-40B4-BE49-F238E27FC236}">
              <a16:creationId xmlns:a16="http://schemas.microsoft.com/office/drawing/2014/main" id="{15B35D2A-7914-4F40-AEC3-544C38C3DC64}"/>
            </a:ext>
          </a:extLst>
        </xdr:cNvPr>
        <xdr:cNvSpPr/>
      </xdr:nvSpPr>
      <xdr:spPr>
        <a:xfrm>
          <a:off x="27622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33</xdr:col>
      <xdr:colOff>38100</xdr:colOff>
      <xdr:row>3</xdr:row>
      <xdr:rowOff>57150</xdr:rowOff>
    </xdr:from>
    <xdr:to>
      <xdr:col>33</xdr:col>
      <xdr:colOff>104775</xdr:colOff>
      <xdr:row>3</xdr:row>
      <xdr:rowOff>152400</xdr:rowOff>
    </xdr:to>
    <xdr:sp macro="" textlink="">
      <xdr:nvSpPr>
        <xdr:cNvPr id="314" name="Diagrama de flujo: conector 313">
          <a:extLst>
            <a:ext uri="{FF2B5EF4-FFF2-40B4-BE49-F238E27FC236}">
              <a16:creationId xmlns:a16="http://schemas.microsoft.com/office/drawing/2014/main" id="{D96CEB46-822C-4A7E-A850-B95D52B522B4}"/>
            </a:ext>
          </a:extLst>
        </xdr:cNvPr>
        <xdr:cNvSpPr/>
      </xdr:nvSpPr>
      <xdr:spPr>
        <a:xfrm>
          <a:off x="27622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33</xdr:col>
      <xdr:colOff>38100</xdr:colOff>
      <xdr:row>4</xdr:row>
      <xdr:rowOff>57150</xdr:rowOff>
    </xdr:from>
    <xdr:to>
      <xdr:col>33</xdr:col>
      <xdr:colOff>104775</xdr:colOff>
      <xdr:row>4</xdr:row>
      <xdr:rowOff>152400</xdr:rowOff>
    </xdr:to>
    <xdr:sp macro="" textlink="">
      <xdr:nvSpPr>
        <xdr:cNvPr id="315" name="Diagrama de flujo: conector 314">
          <a:extLst>
            <a:ext uri="{FF2B5EF4-FFF2-40B4-BE49-F238E27FC236}">
              <a16:creationId xmlns:a16="http://schemas.microsoft.com/office/drawing/2014/main" id="{D8D5329E-2ADC-4340-BDB4-3FF5D8DD22EA}"/>
            </a:ext>
          </a:extLst>
        </xdr:cNvPr>
        <xdr:cNvSpPr/>
      </xdr:nvSpPr>
      <xdr:spPr>
        <a:xfrm>
          <a:off x="27622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33</xdr:col>
      <xdr:colOff>38100</xdr:colOff>
      <xdr:row>5</xdr:row>
      <xdr:rowOff>57150</xdr:rowOff>
    </xdr:from>
    <xdr:to>
      <xdr:col>33</xdr:col>
      <xdr:colOff>104775</xdr:colOff>
      <xdr:row>5</xdr:row>
      <xdr:rowOff>152400</xdr:rowOff>
    </xdr:to>
    <xdr:sp macro="" textlink="">
      <xdr:nvSpPr>
        <xdr:cNvPr id="316" name="Diagrama de flujo: conector 315">
          <a:extLst>
            <a:ext uri="{FF2B5EF4-FFF2-40B4-BE49-F238E27FC236}">
              <a16:creationId xmlns:a16="http://schemas.microsoft.com/office/drawing/2014/main" id="{FBA1C2F4-F551-4CEC-95C0-8EE5467AA2DA}"/>
            </a:ext>
          </a:extLst>
        </xdr:cNvPr>
        <xdr:cNvSpPr/>
      </xdr:nvSpPr>
      <xdr:spPr>
        <a:xfrm>
          <a:off x="27622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33</xdr:col>
      <xdr:colOff>38100</xdr:colOff>
      <xdr:row>6</xdr:row>
      <xdr:rowOff>47625</xdr:rowOff>
    </xdr:from>
    <xdr:to>
      <xdr:col>33</xdr:col>
      <xdr:colOff>104775</xdr:colOff>
      <xdr:row>6</xdr:row>
      <xdr:rowOff>142875</xdr:rowOff>
    </xdr:to>
    <xdr:sp macro="" textlink="">
      <xdr:nvSpPr>
        <xdr:cNvPr id="317" name="Diagrama de flujo: conector 316">
          <a:extLst>
            <a:ext uri="{FF2B5EF4-FFF2-40B4-BE49-F238E27FC236}">
              <a16:creationId xmlns:a16="http://schemas.microsoft.com/office/drawing/2014/main" id="{42D5CA22-FC79-40EE-B0D5-6DF401A6F47E}"/>
            </a:ext>
          </a:extLst>
        </xdr:cNvPr>
        <xdr:cNvSpPr/>
      </xdr:nvSpPr>
      <xdr:spPr>
        <a:xfrm>
          <a:off x="276225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33</xdr:col>
      <xdr:colOff>38100</xdr:colOff>
      <xdr:row>7</xdr:row>
      <xdr:rowOff>47625</xdr:rowOff>
    </xdr:from>
    <xdr:to>
      <xdr:col>33</xdr:col>
      <xdr:colOff>104775</xdr:colOff>
      <xdr:row>7</xdr:row>
      <xdr:rowOff>142875</xdr:rowOff>
    </xdr:to>
    <xdr:sp macro="" textlink="">
      <xdr:nvSpPr>
        <xdr:cNvPr id="318" name="Diagrama de flujo: conector 317">
          <a:extLst>
            <a:ext uri="{FF2B5EF4-FFF2-40B4-BE49-F238E27FC236}">
              <a16:creationId xmlns:a16="http://schemas.microsoft.com/office/drawing/2014/main" id="{E24C9D71-6BA2-41BB-BB04-A123281FF1B6}"/>
            </a:ext>
          </a:extLst>
        </xdr:cNvPr>
        <xdr:cNvSpPr/>
      </xdr:nvSpPr>
      <xdr:spPr>
        <a:xfrm>
          <a:off x="27622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33</xdr:col>
      <xdr:colOff>38100</xdr:colOff>
      <xdr:row>8</xdr:row>
      <xdr:rowOff>57150</xdr:rowOff>
    </xdr:from>
    <xdr:to>
      <xdr:col>33</xdr:col>
      <xdr:colOff>104775</xdr:colOff>
      <xdr:row>8</xdr:row>
      <xdr:rowOff>152400</xdr:rowOff>
    </xdr:to>
    <xdr:sp macro="" textlink="">
      <xdr:nvSpPr>
        <xdr:cNvPr id="319" name="Diagrama de flujo: conector 318">
          <a:extLst>
            <a:ext uri="{FF2B5EF4-FFF2-40B4-BE49-F238E27FC236}">
              <a16:creationId xmlns:a16="http://schemas.microsoft.com/office/drawing/2014/main" id="{356E2B63-E10F-4228-BFF1-8AD60F5BDF5B}"/>
            </a:ext>
          </a:extLst>
        </xdr:cNvPr>
        <xdr:cNvSpPr/>
      </xdr:nvSpPr>
      <xdr:spPr>
        <a:xfrm>
          <a:off x="27622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33</xdr:col>
      <xdr:colOff>38100</xdr:colOff>
      <xdr:row>9</xdr:row>
      <xdr:rowOff>57150</xdr:rowOff>
    </xdr:from>
    <xdr:to>
      <xdr:col>33</xdr:col>
      <xdr:colOff>104775</xdr:colOff>
      <xdr:row>9</xdr:row>
      <xdr:rowOff>152400</xdr:rowOff>
    </xdr:to>
    <xdr:sp macro="" textlink="">
      <xdr:nvSpPr>
        <xdr:cNvPr id="320" name="Diagrama de flujo: conector 319">
          <a:extLst>
            <a:ext uri="{FF2B5EF4-FFF2-40B4-BE49-F238E27FC236}">
              <a16:creationId xmlns:a16="http://schemas.microsoft.com/office/drawing/2014/main" id="{F148D7CB-3458-4088-A3AF-9B3F598BD712}"/>
            </a:ext>
          </a:extLst>
        </xdr:cNvPr>
        <xdr:cNvSpPr/>
      </xdr:nvSpPr>
      <xdr:spPr>
        <a:xfrm>
          <a:off x="27622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33</xdr:col>
      <xdr:colOff>38100</xdr:colOff>
      <xdr:row>10</xdr:row>
      <xdr:rowOff>47625</xdr:rowOff>
    </xdr:from>
    <xdr:to>
      <xdr:col>33</xdr:col>
      <xdr:colOff>104775</xdr:colOff>
      <xdr:row>10</xdr:row>
      <xdr:rowOff>142875</xdr:rowOff>
    </xdr:to>
    <xdr:sp macro="" textlink="">
      <xdr:nvSpPr>
        <xdr:cNvPr id="321" name="Diagrama de flujo: conector 320">
          <a:extLst>
            <a:ext uri="{FF2B5EF4-FFF2-40B4-BE49-F238E27FC236}">
              <a16:creationId xmlns:a16="http://schemas.microsoft.com/office/drawing/2014/main" id="{AB6F9FAF-8794-4A5C-83BE-F953812E86BE}"/>
            </a:ext>
          </a:extLst>
        </xdr:cNvPr>
        <xdr:cNvSpPr/>
      </xdr:nvSpPr>
      <xdr:spPr>
        <a:xfrm>
          <a:off x="276225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33</xdr:col>
      <xdr:colOff>38100</xdr:colOff>
      <xdr:row>12</xdr:row>
      <xdr:rowOff>47625</xdr:rowOff>
    </xdr:from>
    <xdr:to>
      <xdr:col>33</xdr:col>
      <xdr:colOff>104775</xdr:colOff>
      <xdr:row>12</xdr:row>
      <xdr:rowOff>142875</xdr:rowOff>
    </xdr:to>
    <xdr:sp macro="" textlink="">
      <xdr:nvSpPr>
        <xdr:cNvPr id="322" name="Diagrama de flujo: conector 321">
          <a:extLst>
            <a:ext uri="{FF2B5EF4-FFF2-40B4-BE49-F238E27FC236}">
              <a16:creationId xmlns:a16="http://schemas.microsoft.com/office/drawing/2014/main" id="{1C86E382-C074-447C-90B4-BC995989F8A9}"/>
            </a:ext>
          </a:extLst>
        </xdr:cNvPr>
        <xdr:cNvSpPr/>
      </xdr:nvSpPr>
      <xdr:spPr>
        <a:xfrm>
          <a:off x="27622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34</xdr:col>
      <xdr:colOff>38100</xdr:colOff>
      <xdr:row>2</xdr:row>
      <xdr:rowOff>57150</xdr:rowOff>
    </xdr:from>
    <xdr:to>
      <xdr:col>34</xdr:col>
      <xdr:colOff>104775</xdr:colOff>
      <xdr:row>2</xdr:row>
      <xdr:rowOff>152400</xdr:rowOff>
    </xdr:to>
    <xdr:sp macro="" textlink="">
      <xdr:nvSpPr>
        <xdr:cNvPr id="323" name="Diagrama de flujo: conector 322">
          <a:extLst>
            <a:ext uri="{FF2B5EF4-FFF2-40B4-BE49-F238E27FC236}">
              <a16:creationId xmlns:a16="http://schemas.microsoft.com/office/drawing/2014/main" id="{BD601F2B-FE28-402E-A256-6E8B2CECE2BF}"/>
            </a:ext>
          </a:extLst>
        </xdr:cNvPr>
        <xdr:cNvSpPr/>
      </xdr:nvSpPr>
      <xdr:spPr>
        <a:xfrm>
          <a:off x="28956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34</xdr:col>
      <xdr:colOff>38100</xdr:colOff>
      <xdr:row>3</xdr:row>
      <xdr:rowOff>57150</xdr:rowOff>
    </xdr:from>
    <xdr:to>
      <xdr:col>34</xdr:col>
      <xdr:colOff>104775</xdr:colOff>
      <xdr:row>3</xdr:row>
      <xdr:rowOff>152400</xdr:rowOff>
    </xdr:to>
    <xdr:sp macro="" textlink="">
      <xdr:nvSpPr>
        <xdr:cNvPr id="324" name="Diagrama de flujo: conector 323">
          <a:extLst>
            <a:ext uri="{FF2B5EF4-FFF2-40B4-BE49-F238E27FC236}">
              <a16:creationId xmlns:a16="http://schemas.microsoft.com/office/drawing/2014/main" id="{1036F2F9-E6CE-4781-9374-AFF74F592598}"/>
            </a:ext>
          </a:extLst>
        </xdr:cNvPr>
        <xdr:cNvSpPr/>
      </xdr:nvSpPr>
      <xdr:spPr>
        <a:xfrm>
          <a:off x="28956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34</xdr:col>
      <xdr:colOff>38100</xdr:colOff>
      <xdr:row>4</xdr:row>
      <xdr:rowOff>57150</xdr:rowOff>
    </xdr:from>
    <xdr:to>
      <xdr:col>34</xdr:col>
      <xdr:colOff>104775</xdr:colOff>
      <xdr:row>4</xdr:row>
      <xdr:rowOff>152400</xdr:rowOff>
    </xdr:to>
    <xdr:sp macro="" textlink="">
      <xdr:nvSpPr>
        <xdr:cNvPr id="325" name="Diagrama de flujo: conector 324">
          <a:extLst>
            <a:ext uri="{FF2B5EF4-FFF2-40B4-BE49-F238E27FC236}">
              <a16:creationId xmlns:a16="http://schemas.microsoft.com/office/drawing/2014/main" id="{F1CAD123-F99C-4E03-BC6F-01CF72972B84}"/>
            </a:ext>
          </a:extLst>
        </xdr:cNvPr>
        <xdr:cNvSpPr/>
      </xdr:nvSpPr>
      <xdr:spPr>
        <a:xfrm>
          <a:off x="28956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34</xdr:col>
      <xdr:colOff>38100</xdr:colOff>
      <xdr:row>5</xdr:row>
      <xdr:rowOff>57150</xdr:rowOff>
    </xdr:from>
    <xdr:to>
      <xdr:col>34</xdr:col>
      <xdr:colOff>104775</xdr:colOff>
      <xdr:row>5</xdr:row>
      <xdr:rowOff>152400</xdr:rowOff>
    </xdr:to>
    <xdr:sp macro="" textlink="">
      <xdr:nvSpPr>
        <xdr:cNvPr id="326" name="Diagrama de flujo: conector 325">
          <a:extLst>
            <a:ext uri="{FF2B5EF4-FFF2-40B4-BE49-F238E27FC236}">
              <a16:creationId xmlns:a16="http://schemas.microsoft.com/office/drawing/2014/main" id="{8E57A618-CBBC-47C4-BC3A-6C54AEB7AB1E}"/>
            </a:ext>
          </a:extLst>
        </xdr:cNvPr>
        <xdr:cNvSpPr/>
      </xdr:nvSpPr>
      <xdr:spPr>
        <a:xfrm>
          <a:off x="28956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34</xdr:col>
      <xdr:colOff>38100</xdr:colOff>
      <xdr:row>6</xdr:row>
      <xdr:rowOff>47625</xdr:rowOff>
    </xdr:from>
    <xdr:to>
      <xdr:col>34</xdr:col>
      <xdr:colOff>104775</xdr:colOff>
      <xdr:row>6</xdr:row>
      <xdr:rowOff>142875</xdr:rowOff>
    </xdr:to>
    <xdr:sp macro="" textlink="">
      <xdr:nvSpPr>
        <xdr:cNvPr id="327" name="Diagrama de flujo: conector 326">
          <a:extLst>
            <a:ext uri="{FF2B5EF4-FFF2-40B4-BE49-F238E27FC236}">
              <a16:creationId xmlns:a16="http://schemas.microsoft.com/office/drawing/2014/main" id="{1A16654B-63CC-4976-A3C1-0BDCF5A2A8E6}"/>
            </a:ext>
          </a:extLst>
        </xdr:cNvPr>
        <xdr:cNvSpPr/>
      </xdr:nvSpPr>
      <xdr:spPr>
        <a:xfrm>
          <a:off x="289560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34</xdr:col>
      <xdr:colOff>38100</xdr:colOff>
      <xdr:row>7</xdr:row>
      <xdr:rowOff>47625</xdr:rowOff>
    </xdr:from>
    <xdr:to>
      <xdr:col>34</xdr:col>
      <xdr:colOff>104775</xdr:colOff>
      <xdr:row>7</xdr:row>
      <xdr:rowOff>142875</xdr:rowOff>
    </xdr:to>
    <xdr:sp macro="" textlink="">
      <xdr:nvSpPr>
        <xdr:cNvPr id="328" name="Diagrama de flujo: conector 327">
          <a:extLst>
            <a:ext uri="{FF2B5EF4-FFF2-40B4-BE49-F238E27FC236}">
              <a16:creationId xmlns:a16="http://schemas.microsoft.com/office/drawing/2014/main" id="{D9D7CF17-EC6D-417F-8C94-816BB879E6C7}"/>
            </a:ext>
          </a:extLst>
        </xdr:cNvPr>
        <xdr:cNvSpPr/>
      </xdr:nvSpPr>
      <xdr:spPr>
        <a:xfrm>
          <a:off x="28956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34</xdr:col>
      <xdr:colOff>38100</xdr:colOff>
      <xdr:row>8</xdr:row>
      <xdr:rowOff>57150</xdr:rowOff>
    </xdr:from>
    <xdr:to>
      <xdr:col>34</xdr:col>
      <xdr:colOff>104775</xdr:colOff>
      <xdr:row>8</xdr:row>
      <xdr:rowOff>152400</xdr:rowOff>
    </xdr:to>
    <xdr:sp macro="" textlink="">
      <xdr:nvSpPr>
        <xdr:cNvPr id="329" name="Diagrama de flujo: conector 328">
          <a:extLst>
            <a:ext uri="{FF2B5EF4-FFF2-40B4-BE49-F238E27FC236}">
              <a16:creationId xmlns:a16="http://schemas.microsoft.com/office/drawing/2014/main" id="{A0A5B352-8EDB-4BD6-8F16-6531515F7E68}"/>
            </a:ext>
          </a:extLst>
        </xdr:cNvPr>
        <xdr:cNvSpPr/>
      </xdr:nvSpPr>
      <xdr:spPr>
        <a:xfrm>
          <a:off x="28956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34</xdr:col>
      <xdr:colOff>38100</xdr:colOff>
      <xdr:row>9</xdr:row>
      <xdr:rowOff>57150</xdr:rowOff>
    </xdr:from>
    <xdr:to>
      <xdr:col>34</xdr:col>
      <xdr:colOff>104775</xdr:colOff>
      <xdr:row>9</xdr:row>
      <xdr:rowOff>152400</xdr:rowOff>
    </xdr:to>
    <xdr:sp macro="" textlink="">
      <xdr:nvSpPr>
        <xdr:cNvPr id="330" name="Diagrama de flujo: conector 329">
          <a:extLst>
            <a:ext uri="{FF2B5EF4-FFF2-40B4-BE49-F238E27FC236}">
              <a16:creationId xmlns:a16="http://schemas.microsoft.com/office/drawing/2014/main" id="{3F110A39-1828-49F7-827F-4C9A7301C97A}"/>
            </a:ext>
          </a:extLst>
        </xdr:cNvPr>
        <xdr:cNvSpPr/>
      </xdr:nvSpPr>
      <xdr:spPr>
        <a:xfrm>
          <a:off x="28956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34</xdr:col>
      <xdr:colOff>38100</xdr:colOff>
      <xdr:row>10</xdr:row>
      <xdr:rowOff>47625</xdr:rowOff>
    </xdr:from>
    <xdr:to>
      <xdr:col>34</xdr:col>
      <xdr:colOff>104775</xdr:colOff>
      <xdr:row>10</xdr:row>
      <xdr:rowOff>142875</xdr:rowOff>
    </xdr:to>
    <xdr:sp macro="" textlink="">
      <xdr:nvSpPr>
        <xdr:cNvPr id="331" name="Diagrama de flujo: conector 330">
          <a:extLst>
            <a:ext uri="{FF2B5EF4-FFF2-40B4-BE49-F238E27FC236}">
              <a16:creationId xmlns:a16="http://schemas.microsoft.com/office/drawing/2014/main" id="{958F4E66-2A89-4B06-9B2A-2B37C0BD55FF}"/>
            </a:ext>
          </a:extLst>
        </xdr:cNvPr>
        <xdr:cNvSpPr/>
      </xdr:nvSpPr>
      <xdr:spPr>
        <a:xfrm>
          <a:off x="289560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34</xdr:col>
      <xdr:colOff>38100</xdr:colOff>
      <xdr:row>12</xdr:row>
      <xdr:rowOff>47625</xdr:rowOff>
    </xdr:from>
    <xdr:to>
      <xdr:col>34</xdr:col>
      <xdr:colOff>104775</xdr:colOff>
      <xdr:row>12</xdr:row>
      <xdr:rowOff>142875</xdr:rowOff>
    </xdr:to>
    <xdr:sp macro="" textlink="">
      <xdr:nvSpPr>
        <xdr:cNvPr id="332" name="Diagrama de flujo: conector 331">
          <a:extLst>
            <a:ext uri="{FF2B5EF4-FFF2-40B4-BE49-F238E27FC236}">
              <a16:creationId xmlns:a16="http://schemas.microsoft.com/office/drawing/2014/main" id="{E1489554-4C69-4646-BA73-9A97A0817B85}"/>
            </a:ext>
          </a:extLst>
        </xdr:cNvPr>
        <xdr:cNvSpPr/>
      </xdr:nvSpPr>
      <xdr:spPr>
        <a:xfrm>
          <a:off x="28956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27</xdr:col>
      <xdr:colOff>38100</xdr:colOff>
      <xdr:row>2</xdr:row>
      <xdr:rowOff>57150</xdr:rowOff>
    </xdr:from>
    <xdr:to>
      <xdr:col>27</xdr:col>
      <xdr:colOff>104775</xdr:colOff>
      <xdr:row>2</xdr:row>
      <xdr:rowOff>152400</xdr:rowOff>
    </xdr:to>
    <xdr:sp macro="" textlink="">
      <xdr:nvSpPr>
        <xdr:cNvPr id="333" name="Diagrama de flujo: conector 332">
          <a:extLst>
            <a:ext uri="{FF2B5EF4-FFF2-40B4-BE49-F238E27FC236}">
              <a16:creationId xmlns:a16="http://schemas.microsoft.com/office/drawing/2014/main" id="{5556FC9B-92B2-4854-8BB1-5FADDDDF5D36}"/>
            </a:ext>
          </a:extLst>
        </xdr:cNvPr>
        <xdr:cNvSpPr/>
      </xdr:nvSpPr>
      <xdr:spPr>
        <a:xfrm>
          <a:off x="19621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27</xdr:col>
      <xdr:colOff>38100</xdr:colOff>
      <xdr:row>3</xdr:row>
      <xdr:rowOff>57150</xdr:rowOff>
    </xdr:from>
    <xdr:to>
      <xdr:col>27</xdr:col>
      <xdr:colOff>104775</xdr:colOff>
      <xdr:row>3</xdr:row>
      <xdr:rowOff>152400</xdr:rowOff>
    </xdr:to>
    <xdr:sp macro="" textlink="">
      <xdr:nvSpPr>
        <xdr:cNvPr id="334" name="Diagrama de flujo: conector 333">
          <a:extLst>
            <a:ext uri="{FF2B5EF4-FFF2-40B4-BE49-F238E27FC236}">
              <a16:creationId xmlns:a16="http://schemas.microsoft.com/office/drawing/2014/main" id="{26B086CA-A400-4DB1-8943-D134B204FD91}"/>
            </a:ext>
          </a:extLst>
        </xdr:cNvPr>
        <xdr:cNvSpPr/>
      </xdr:nvSpPr>
      <xdr:spPr>
        <a:xfrm>
          <a:off x="19621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27</xdr:col>
      <xdr:colOff>38100</xdr:colOff>
      <xdr:row>4</xdr:row>
      <xdr:rowOff>57150</xdr:rowOff>
    </xdr:from>
    <xdr:to>
      <xdr:col>27</xdr:col>
      <xdr:colOff>104775</xdr:colOff>
      <xdr:row>4</xdr:row>
      <xdr:rowOff>152400</xdr:rowOff>
    </xdr:to>
    <xdr:sp macro="" textlink="">
      <xdr:nvSpPr>
        <xdr:cNvPr id="335" name="Diagrama de flujo: conector 334">
          <a:extLst>
            <a:ext uri="{FF2B5EF4-FFF2-40B4-BE49-F238E27FC236}">
              <a16:creationId xmlns:a16="http://schemas.microsoft.com/office/drawing/2014/main" id="{563213B4-0EF4-4692-9C3D-EED3284D60C4}"/>
            </a:ext>
          </a:extLst>
        </xdr:cNvPr>
        <xdr:cNvSpPr/>
      </xdr:nvSpPr>
      <xdr:spPr>
        <a:xfrm>
          <a:off x="19621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27</xdr:col>
      <xdr:colOff>38100</xdr:colOff>
      <xdr:row>5</xdr:row>
      <xdr:rowOff>57150</xdr:rowOff>
    </xdr:from>
    <xdr:to>
      <xdr:col>27</xdr:col>
      <xdr:colOff>104775</xdr:colOff>
      <xdr:row>5</xdr:row>
      <xdr:rowOff>152400</xdr:rowOff>
    </xdr:to>
    <xdr:sp macro="" textlink="">
      <xdr:nvSpPr>
        <xdr:cNvPr id="336" name="Diagrama de flujo: conector 335">
          <a:extLst>
            <a:ext uri="{FF2B5EF4-FFF2-40B4-BE49-F238E27FC236}">
              <a16:creationId xmlns:a16="http://schemas.microsoft.com/office/drawing/2014/main" id="{BE193167-223F-47B5-9B8F-CD802A9D937A}"/>
            </a:ext>
          </a:extLst>
        </xdr:cNvPr>
        <xdr:cNvSpPr/>
      </xdr:nvSpPr>
      <xdr:spPr>
        <a:xfrm>
          <a:off x="19621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27</xdr:col>
      <xdr:colOff>38100</xdr:colOff>
      <xdr:row>6</xdr:row>
      <xdr:rowOff>47625</xdr:rowOff>
    </xdr:from>
    <xdr:to>
      <xdr:col>27</xdr:col>
      <xdr:colOff>104775</xdr:colOff>
      <xdr:row>6</xdr:row>
      <xdr:rowOff>142875</xdr:rowOff>
    </xdr:to>
    <xdr:sp macro="" textlink="">
      <xdr:nvSpPr>
        <xdr:cNvPr id="337" name="Diagrama de flujo: conector 336">
          <a:extLst>
            <a:ext uri="{FF2B5EF4-FFF2-40B4-BE49-F238E27FC236}">
              <a16:creationId xmlns:a16="http://schemas.microsoft.com/office/drawing/2014/main" id="{B4350DB4-F127-4EDA-B1FB-D52021AB11C2}"/>
            </a:ext>
          </a:extLst>
        </xdr:cNvPr>
        <xdr:cNvSpPr/>
      </xdr:nvSpPr>
      <xdr:spPr>
        <a:xfrm>
          <a:off x="196215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27</xdr:col>
      <xdr:colOff>38100</xdr:colOff>
      <xdr:row>7</xdr:row>
      <xdr:rowOff>47625</xdr:rowOff>
    </xdr:from>
    <xdr:to>
      <xdr:col>27</xdr:col>
      <xdr:colOff>104775</xdr:colOff>
      <xdr:row>7</xdr:row>
      <xdr:rowOff>142875</xdr:rowOff>
    </xdr:to>
    <xdr:sp macro="" textlink="">
      <xdr:nvSpPr>
        <xdr:cNvPr id="338" name="Diagrama de flujo: conector 337">
          <a:extLst>
            <a:ext uri="{FF2B5EF4-FFF2-40B4-BE49-F238E27FC236}">
              <a16:creationId xmlns:a16="http://schemas.microsoft.com/office/drawing/2014/main" id="{D2E8A453-EDF3-45AC-8704-AEC79D9E50CE}"/>
            </a:ext>
          </a:extLst>
        </xdr:cNvPr>
        <xdr:cNvSpPr/>
      </xdr:nvSpPr>
      <xdr:spPr>
        <a:xfrm>
          <a:off x="19621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27</xdr:col>
      <xdr:colOff>38100</xdr:colOff>
      <xdr:row>8</xdr:row>
      <xdr:rowOff>57150</xdr:rowOff>
    </xdr:from>
    <xdr:to>
      <xdr:col>27</xdr:col>
      <xdr:colOff>104775</xdr:colOff>
      <xdr:row>8</xdr:row>
      <xdr:rowOff>152400</xdr:rowOff>
    </xdr:to>
    <xdr:sp macro="" textlink="">
      <xdr:nvSpPr>
        <xdr:cNvPr id="339" name="Diagrama de flujo: conector 338">
          <a:extLst>
            <a:ext uri="{FF2B5EF4-FFF2-40B4-BE49-F238E27FC236}">
              <a16:creationId xmlns:a16="http://schemas.microsoft.com/office/drawing/2014/main" id="{8691BE1A-5108-47C1-806D-BFD1AA709429}"/>
            </a:ext>
          </a:extLst>
        </xdr:cNvPr>
        <xdr:cNvSpPr/>
      </xdr:nvSpPr>
      <xdr:spPr>
        <a:xfrm>
          <a:off x="19621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27</xdr:col>
      <xdr:colOff>38100</xdr:colOff>
      <xdr:row>9</xdr:row>
      <xdr:rowOff>57150</xdr:rowOff>
    </xdr:from>
    <xdr:to>
      <xdr:col>27</xdr:col>
      <xdr:colOff>104775</xdr:colOff>
      <xdr:row>9</xdr:row>
      <xdr:rowOff>152400</xdr:rowOff>
    </xdr:to>
    <xdr:sp macro="" textlink="">
      <xdr:nvSpPr>
        <xdr:cNvPr id="340" name="Diagrama de flujo: conector 339">
          <a:extLst>
            <a:ext uri="{FF2B5EF4-FFF2-40B4-BE49-F238E27FC236}">
              <a16:creationId xmlns:a16="http://schemas.microsoft.com/office/drawing/2014/main" id="{6D7B83BB-58A5-40D6-8CB3-6864116FB014}"/>
            </a:ext>
          </a:extLst>
        </xdr:cNvPr>
        <xdr:cNvSpPr/>
      </xdr:nvSpPr>
      <xdr:spPr>
        <a:xfrm>
          <a:off x="19621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27</xdr:col>
      <xdr:colOff>38100</xdr:colOff>
      <xdr:row>10</xdr:row>
      <xdr:rowOff>47625</xdr:rowOff>
    </xdr:from>
    <xdr:to>
      <xdr:col>27</xdr:col>
      <xdr:colOff>104775</xdr:colOff>
      <xdr:row>10</xdr:row>
      <xdr:rowOff>142875</xdr:rowOff>
    </xdr:to>
    <xdr:sp macro="" textlink="">
      <xdr:nvSpPr>
        <xdr:cNvPr id="341" name="Diagrama de flujo: conector 340">
          <a:extLst>
            <a:ext uri="{FF2B5EF4-FFF2-40B4-BE49-F238E27FC236}">
              <a16:creationId xmlns:a16="http://schemas.microsoft.com/office/drawing/2014/main" id="{EFBD1FF6-8DFC-45AB-8CD9-788D1FE99DBE}"/>
            </a:ext>
          </a:extLst>
        </xdr:cNvPr>
        <xdr:cNvSpPr/>
      </xdr:nvSpPr>
      <xdr:spPr>
        <a:xfrm>
          <a:off x="196215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27</xdr:col>
      <xdr:colOff>38100</xdr:colOff>
      <xdr:row>12</xdr:row>
      <xdr:rowOff>47625</xdr:rowOff>
    </xdr:from>
    <xdr:to>
      <xdr:col>27</xdr:col>
      <xdr:colOff>104775</xdr:colOff>
      <xdr:row>12</xdr:row>
      <xdr:rowOff>142875</xdr:rowOff>
    </xdr:to>
    <xdr:sp macro="" textlink="">
      <xdr:nvSpPr>
        <xdr:cNvPr id="342" name="Diagrama de flujo: conector 341">
          <a:extLst>
            <a:ext uri="{FF2B5EF4-FFF2-40B4-BE49-F238E27FC236}">
              <a16:creationId xmlns:a16="http://schemas.microsoft.com/office/drawing/2014/main" id="{C6DA47BE-CB86-4065-B47E-D5082558CFA4}"/>
            </a:ext>
          </a:extLst>
        </xdr:cNvPr>
        <xdr:cNvSpPr/>
      </xdr:nvSpPr>
      <xdr:spPr>
        <a:xfrm>
          <a:off x="19621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40</xdr:col>
      <xdr:colOff>38100</xdr:colOff>
      <xdr:row>2</xdr:row>
      <xdr:rowOff>57150</xdr:rowOff>
    </xdr:from>
    <xdr:to>
      <xdr:col>40</xdr:col>
      <xdr:colOff>104775</xdr:colOff>
      <xdr:row>2</xdr:row>
      <xdr:rowOff>152400</xdr:rowOff>
    </xdr:to>
    <xdr:sp macro="" textlink="">
      <xdr:nvSpPr>
        <xdr:cNvPr id="343" name="Diagrama de flujo: conector 342">
          <a:extLst>
            <a:ext uri="{FF2B5EF4-FFF2-40B4-BE49-F238E27FC236}">
              <a16:creationId xmlns:a16="http://schemas.microsoft.com/office/drawing/2014/main" id="{A93B6C67-8D06-4CEF-B81E-8297FDE5DC7F}"/>
            </a:ext>
          </a:extLst>
        </xdr:cNvPr>
        <xdr:cNvSpPr/>
      </xdr:nvSpPr>
      <xdr:spPr>
        <a:xfrm>
          <a:off x="20955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40</xdr:col>
      <xdr:colOff>38100</xdr:colOff>
      <xdr:row>3</xdr:row>
      <xdr:rowOff>57150</xdr:rowOff>
    </xdr:from>
    <xdr:to>
      <xdr:col>40</xdr:col>
      <xdr:colOff>104775</xdr:colOff>
      <xdr:row>3</xdr:row>
      <xdr:rowOff>152400</xdr:rowOff>
    </xdr:to>
    <xdr:sp macro="" textlink="">
      <xdr:nvSpPr>
        <xdr:cNvPr id="344" name="Diagrama de flujo: conector 343">
          <a:extLst>
            <a:ext uri="{FF2B5EF4-FFF2-40B4-BE49-F238E27FC236}">
              <a16:creationId xmlns:a16="http://schemas.microsoft.com/office/drawing/2014/main" id="{B8858C3A-C75B-41FA-B2AD-DE738C079643}"/>
            </a:ext>
          </a:extLst>
        </xdr:cNvPr>
        <xdr:cNvSpPr/>
      </xdr:nvSpPr>
      <xdr:spPr>
        <a:xfrm>
          <a:off x="20955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40</xdr:col>
      <xdr:colOff>38100</xdr:colOff>
      <xdr:row>4</xdr:row>
      <xdr:rowOff>57150</xdr:rowOff>
    </xdr:from>
    <xdr:to>
      <xdr:col>40</xdr:col>
      <xdr:colOff>104775</xdr:colOff>
      <xdr:row>4</xdr:row>
      <xdr:rowOff>152400</xdr:rowOff>
    </xdr:to>
    <xdr:sp macro="" textlink="">
      <xdr:nvSpPr>
        <xdr:cNvPr id="345" name="Diagrama de flujo: conector 344">
          <a:extLst>
            <a:ext uri="{FF2B5EF4-FFF2-40B4-BE49-F238E27FC236}">
              <a16:creationId xmlns:a16="http://schemas.microsoft.com/office/drawing/2014/main" id="{37C85BED-3366-4D68-93AD-5E137E16BBD3}"/>
            </a:ext>
          </a:extLst>
        </xdr:cNvPr>
        <xdr:cNvSpPr/>
      </xdr:nvSpPr>
      <xdr:spPr>
        <a:xfrm>
          <a:off x="20955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40</xdr:col>
      <xdr:colOff>38100</xdr:colOff>
      <xdr:row>5</xdr:row>
      <xdr:rowOff>57150</xdr:rowOff>
    </xdr:from>
    <xdr:to>
      <xdr:col>40</xdr:col>
      <xdr:colOff>104775</xdr:colOff>
      <xdr:row>5</xdr:row>
      <xdr:rowOff>152400</xdr:rowOff>
    </xdr:to>
    <xdr:sp macro="" textlink="">
      <xdr:nvSpPr>
        <xdr:cNvPr id="346" name="Diagrama de flujo: conector 345">
          <a:extLst>
            <a:ext uri="{FF2B5EF4-FFF2-40B4-BE49-F238E27FC236}">
              <a16:creationId xmlns:a16="http://schemas.microsoft.com/office/drawing/2014/main" id="{573019D3-72AC-4C7F-AB1B-438DD96F7E96}"/>
            </a:ext>
          </a:extLst>
        </xdr:cNvPr>
        <xdr:cNvSpPr/>
      </xdr:nvSpPr>
      <xdr:spPr>
        <a:xfrm>
          <a:off x="20955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40</xdr:col>
      <xdr:colOff>38100</xdr:colOff>
      <xdr:row>6</xdr:row>
      <xdr:rowOff>47625</xdr:rowOff>
    </xdr:from>
    <xdr:to>
      <xdr:col>40</xdr:col>
      <xdr:colOff>104775</xdr:colOff>
      <xdr:row>6</xdr:row>
      <xdr:rowOff>142875</xdr:rowOff>
    </xdr:to>
    <xdr:sp macro="" textlink="">
      <xdr:nvSpPr>
        <xdr:cNvPr id="347" name="Diagrama de flujo: conector 346">
          <a:extLst>
            <a:ext uri="{FF2B5EF4-FFF2-40B4-BE49-F238E27FC236}">
              <a16:creationId xmlns:a16="http://schemas.microsoft.com/office/drawing/2014/main" id="{28350F17-D6F3-4BFB-9352-4A34272CF7FD}"/>
            </a:ext>
          </a:extLst>
        </xdr:cNvPr>
        <xdr:cNvSpPr/>
      </xdr:nvSpPr>
      <xdr:spPr>
        <a:xfrm>
          <a:off x="209550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40</xdr:col>
      <xdr:colOff>38100</xdr:colOff>
      <xdr:row>7</xdr:row>
      <xdr:rowOff>47625</xdr:rowOff>
    </xdr:from>
    <xdr:to>
      <xdr:col>40</xdr:col>
      <xdr:colOff>104775</xdr:colOff>
      <xdr:row>7</xdr:row>
      <xdr:rowOff>142875</xdr:rowOff>
    </xdr:to>
    <xdr:sp macro="" textlink="">
      <xdr:nvSpPr>
        <xdr:cNvPr id="348" name="Diagrama de flujo: conector 347">
          <a:extLst>
            <a:ext uri="{FF2B5EF4-FFF2-40B4-BE49-F238E27FC236}">
              <a16:creationId xmlns:a16="http://schemas.microsoft.com/office/drawing/2014/main" id="{0E3C71E4-7D4C-426C-8C50-66475EF5A529}"/>
            </a:ext>
          </a:extLst>
        </xdr:cNvPr>
        <xdr:cNvSpPr/>
      </xdr:nvSpPr>
      <xdr:spPr>
        <a:xfrm>
          <a:off x="20955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40</xdr:col>
      <xdr:colOff>38100</xdr:colOff>
      <xdr:row>8</xdr:row>
      <xdr:rowOff>57150</xdr:rowOff>
    </xdr:from>
    <xdr:to>
      <xdr:col>40</xdr:col>
      <xdr:colOff>104775</xdr:colOff>
      <xdr:row>8</xdr:row>
      <xdr:rowOff>152400</xdr:rowOff>
    </xdr:to>
    <xdr:sp macro="" textlink="">
      <xdr:nvSpPr>
        <xdr:cNvPr id="349" name="Diagrama de flujo: conector 348">
          <a:extLst>
            <a:ext uri="{FF2B5EF4-FFF2-40B4-BE49-F238E27FC236}">
              <a16:creationId xmlns:a16="http://schemas.microsoft.com/office/drawing/2014/main" id="{F1E384D2-F85D-4089-BE00-7FA8A2165CA1}"/>
            </a:ext>
          </a:extLst>
        </xdr:cNvPr>
        <xdr:cNvSpPr/>
      </xdr:nvSpPr>
      <xdr:spPr>
        <a:xfrm>
          <a:off x="20955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40</xdr:col>
      <xdr:colOff>38100</xdr:colOff>
      <xdr:row>9</xdr:row>
      <xdr:rowOff>57150</xdr:rowOff>
    </xdr:from>
    <xdr:to>
      <xdr:col>40</xdr:col>
      <xdr:colOff>104775</xdr:colOff>
      <xdr:row>9</xdr:row>
      <xdr:rowOff>152400</xdr:rowOff>
    </xdr:to>
    <xdr:sp macro="" textlink="">
      <xdr:nvSpPr>
        <xdr:cNvPr id="350" name="Diagrama de flujo: conector 349">
          <a:extLst>
            <a:ext uri="{FF2B5EF4-FFF2-40B4-BE49-F238E27FC236}">
              <a16:creationId xmlns:a16="http://schemas.microsoft.com/office/drawing/2014/main" id="{DF8FC30F-B008-48B3-9456-1DF00524983A}"/>
            </a:ext>
          </a:extLst>
        </xdr:cNvPr>
        <xdr:cNvSpPr/>
      </xdr:nvSpPr>
      <xdr:spPr>
        <a:xfrm>
          <a:off x="20955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40</xdr:col>
      <xdr:colOff>38100</xdr:colOff>
      <xdr:row>10</xdr:row>
      <xdr:rowOff>47625</xdr:rowOff>
    </xdr:from>
    <xdr:to>
      <xdr:col>40</xdr:col>
      <xdr:colOff>104775</xdr:colOff>
      <xdr:row>10</xdr:row>
      <xdr:rowOff>142875</xdr:rowOff>
    </xdr:to>
    <xdr:sp macro="" textlink="">
      <xdr:nvSpPr>
        <xdr:cNvPr id="351" name="Diagrama de flujo: conector 350">
          <a:extLst>
            <a:ext uri="{FF2B5EF4-FFF2-40B4-BE49-F238E27FC236}">
              <a16:creationId xmlns:a16="http://schemas.microsoft.com/office/drawing/2014/main" id="{3C49B992-D379-471A-AE51-8957715782A7}"/>
            </a:ext>
          </a:extLst>
        </xdr:cNvPr>
        <xdr:cNvSpPr/>
      </xdr:nvSpPr>
      <xdr:spPr>
        <a:xfrm>
          <a:off x="209550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40</xdr:col>
      <xdr:colOff>38100</xdr:colOff>
      <xdr:row>12</xdr:row>
      <xdr:rowOff>47625</xdr:rowOff>
    </xdr:from>
    <xdr:to>
      <xdr:col>40</xdr:col>
      <xdr:colOff>104775</xdr:colOff>
      <xdr:row>12</xdr:row>
      <xdr:rowOff>142875</xdr:rowOff>
    </xdr:to>
    <xdr:sp macro="" textlink="">
      <xdr:nvSpPr>
        <xdr:cNvPr id="352" name="Diagrama de flujo: conector 351">
          <a:extLst>
            <a:ext uri="{FF2B5EF4-FFF2-40B4-BE49-F238E27FC236}">
              <a16:creationId xmlns:a16="http://schemas.microsoft.com/office/drawing/2014/main" id="{092375FE-7318-4526-96A2-D4135B176B97}"/>
            </a:ext>
          </a:extLst>
        </xdr:cNvPr>
        <xdr:cNvSpPr/>
      </xdr:nvSpPr>
      <xdr:spPr>
        <a:xfrm>
          <a:off x="20955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41</xdr:col>
      <xdr:colOff>38100</xdr:colOff>
      <xdr:row>2</xdr:row>
      <xdr:rowOff>57150</xdr:rowOff>
    </xdr:from>
    <xdr:to>
      <xdr:col>41</xdr:col>
      <xdr:colOff>104775</xdr:colOff>
      <xdr:row>2</xdr:row>
      <xdr:rowOff>152400</xdr:rowOff>
    </xdr:to>
    <xdr:sp macro="" textlink="">
      <xdr:nvSpPr>
        <xdr:cNvPr id="353" name="Diagrama de flujo: conector 352">
          <a:extLst>
            <a:ext uri="{FF2B5EF4-FFF2-40B4-BE49-F238E27FC236}">
              <a16:creationId xmlns:a16="http://schemas.microsoft.com/office/drawing/2014/main" id="{F6EDD5F8-6682-4C45-9D38-D56B0D245F34}"/>
            </a:ext>
          </a:extLst>
        </xdr:cNvPr>
        <xdr:cNvSpPr/>
      </xdr:nvSpPr>
      <xdr:spPr>
        <a:xfrm>
          <a:off x="22288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41</xdr:col>
      <xdr:colOff>38100</xdr:colOff>
      <xdr:row>3</xdr:row>
      <xdr:rowOff>57150</xdr:rowOff>
    </xdr:from>
    <xdr:to>
      <xdr:col>41</xdr:col>
      <xdr:colOff>104775</xdr:colOff>
      <xdr:row>3</xdr:row>
      <xdr:rowOff>152400</xdr:rowOff>
    </xdr:to>
    <xdr:sp macro="" textlink="">
      <xdr:nvSpPr>
        <xdr:cNvPr id="354" name="Diagrama de flujo: conector 353">
          <a:extLst>
            <a:ext uri="{FF2B5EF4-FFF2-40B4-BE49-F238E27FC236}">
              <a16:creationId xmlns:a16="http://schemas.microsoft.com/office/drawing/2014/main" id="{602EEE14-4765-4C7C-BA6A-E012860009DD}"/>
            </a:ext>
          </a:extLst>
        </xdr:cNvPr>
        <xdr:cNvSpPr/>
      </xdr:nvSpPr>
      <xdr:spPr>
        <a:xfrm>
          <a:off x="22288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41</xdr:col>
      <xdr:colOff>38100</xdr:colOff>
      <xdr:row>4</xdr:row>
      <xdr:rowOff>57150</xdr:rowOff>
    </xdr:from>
    <xdr:to>
      <xdr:col>41</xdr:col>
      <xdr:colOff>104775</xdr:colOff>
      <xdr:row>4</xdr:row>
      <xdr:rowOff>152400</xdr:rowOff>
    </xdr:to>
    <xdr:sp macro="" textlink="">
      <xdr:nvSpPr>
        <xdr:cNvPr id="355" name="Diagrama de flujo: conector 354">
          <a:extLst>
            <a:ext uri="{FF2B5EF4-FFF2-40B4-BE49-F238E27FC236}">
              <a16:creationId xmlns:a16="http://schemas.microsoft.com/office/drawing/2014/main" id="{554FBEC0-927D-44EE-BBBF-00C8B5B09809}"/>
            </a:ext>
          </a:extLst>
        </xdr:cNvPr>
        <xdr:cNvSpPr/>
      </xdr:nvSpPr>
      <xdr:spPr>
        <a:xfrm>
          <a:off x="22288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41</xdr:col>
      <xdr:colOff>38100</xdr:colOff>
      <xdr:row>5</xdr:row>
      <xdr:rowOff>57150</xdr:rowOff>
    </xdr:from>
    <xdr:to>
      <xdr:col>41</xdr:col>
      <xdr:colOff>104775</xdr:colOff>
      <xdr:row>5</xdr:row>
      <xdr:rowOff>152400</xdr:rowOff>
    </xdr:to>
    <xdr:sp macro="" textlink="">
      <xdr:nvSpPr>
        <xdr:cNvPr id="356" name="Diagrama de flujo: conector 355">
          <a:extLst>
            <a:ext uri="{FF2B5EF4-FFF2-40B4-BE49-F238E27FC236}">
              <a16:creationId xmlns:a16="http://schemas.microsoft.com/office/drawing/2014/main" id="{02B2F047-5D18-485C-907F-1FC1143BE7BD}"/>
            </a:ext>
          </a:extLst>
        </xdr:cNvPr>
        <xdr:cNvSpPr/>
      </xdr:nvSpPr>
      <xdr:spPr>
        <a:xfrm>
          <a:off x="22288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41</xdr:col>
      <xdr:colOff>38100</xdr:colOff>
      <xdr:row>6</xdr:row>
      <xdr:rowOff>47625</xdr:rowOff>
    </xdr:from>
    <xdr:to>
      <xdr:col>41</xdr:col>
      <xdr:colOff>104775</xdr:colOff>
      <xdr:row>6</xdr:row>
      <xdr:rowOff>142875</xdr:rowOff>
    </xdr:to>
    <xdr:sp macro="" textlink="">
      <xdr:nvSpPr>
        <xdr:cNvPr id="357" name="Diagrama de flujo: conector 356">
          <a:extLst>
            <a:ext uri="{FF2B5EF4-FFF2-40B4-BE49-F238E27FC236}">
              <a16:creationId xmlns:a16="http://schemas.microsoft.com/office/drawing/2014/main" id="{8B5173CA-562C-4A2D-9367-6C1EACD49189}"/>
            </a:ext>
          </a:extLst>
        </xdr:cNvPr>
        <xdr:cNvSpPr/>
      </xdr:nvSpPr>
      <xdr:spPr>
        <a:xfrm>
          <a:off x="222885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41</xdr:col>
      <xdr:colOff>38100</xdr:colOff>
      <xdr:row>7</xdr:row>
      <xdr:rowOff>47625</xdr:rowOff>
    </xdr:from>
    <xdr:to>
      <xdr:col>41</xdr:col>
      <xdr:colOff>104775</xdr:colOff>
      <xdr:row>7</xdr:row>
      <xdr:rowOff>142875</xdr:rowOff>
    </xdr:to>
    <xdr:sp macro="" textlink="">
      <xdr:nvSpPr>
        <xdr:cNvPr id="358" name="Diagrama de flujo: conector 357">
          <a:extLst>
            <a:ext uri="{FF2B5EF4-FFF2-40B4-BE49-F238E27FC236}">
              <a16:creationId xmlns:a16="http://schemas.microsoft.com/office/drawing/2014/main" id="{CB3D36E5-A223-4A37-895B-BE5B0919611B}"/>
            </a:ext>
          </a:extLst>
        </xdr:cNvPr>
        <xdr:cNvSpPr/>
      </xdr:nvSpPr>
      <xdr:spPr>
        <a:xfrm>
          <a:off x="22288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41</xdr:col>
      <xdr:colOff>38100</xdr:colOff>
      <xdr:row>8</xdr:row>
      <xdr:rowOff>57150</xdr:rowOff>
    </xdr:from>
    <xdr:to>
      <xdr:col>41</xdr:col>
      <xdr:colOff>104775</xdr:colOff>
      <xdr:row>8</xdr:row>
      <xdr:rowOff>152400</xdr:rowOff>
    </xdr:to>
    <xdr:sp macro="" textlink="">
      <xdr:nvSpPr>
        <xdr:cNvPr id="359" name="Diagrama de flujo: conector 358">
          <a:extLst>
            <a:ext uri="{FF2B5EF4-FFF2-40B4-BE49-F238E27FC236}">
              <a16:creationId xmlns:a16="http://schemas.microsoft.com/office/drawing/2014/main" id="{12F8F83F-3256-44EA-8A58-B02CB75920C3}"/>
            </a:ext>
          </a:extLst>
        </xdr:cNvPr>
        <xdr:cNvSpPr/>
      </xdr:nvSpPr>
      <xdr:spPr>
        <a:xfrm>
          <a:off x="22288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41</xdr:col>
      <xdr:colOff>38100</xdr:colOff>
      <xdr:row>9</xdr:row>
      <xdr:rowOff>57150</xdr:rowOff>
    </xdr:from>
    <xdr:to>
      <xdr:col>41</xdr:col>
      <xdr:colOff>104775</xdr:colOff>
      <xdr:row>9</xdr:row>
      <xdr:rowOff>152400</xdr:rowOff>
    </xdr:to>
    <xdr:sp macro="" textlink="">
      <xdr:nvSpPr>
        <xdr:cNvPr id="360" name="Diagrama de flujo: conector 359">
          <a:extLst>
            <a:ext uri="{FF2B5EF4-FFF2-40B4-BE49-F238E27FC236}">
              <a16:creationId xmlns:a16="http://schemas.microsoft.com/office/drawing/2014/main" id="{BF2F13F0-3329-4046-AC75-965CD5CFEBE7}"/>
            </a:ext>
          </a:extLst>
        </xdr:cNvPr>
        <xdr:cNvSpPr/>
      </xdr:nvSpPr>
      <xdr:spPr>
        <a:xfrm>
          <a:off x="22288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41</xdr:col>
      <xdr:colOff>38100</xdr:colOff>
      <xdr:row>10</xdr:row>
      <xdr:rowOff>47625</xdr:rowOff>
    </xdr:from>
    <xdr:to>
      <xdr:col>41</xdr:col>
      <xdr:colOff>104775</xdr:colOff>
      <xdr:row>10</xdr:row>
      <xdr:rowOff>142875</xdr:rowOff>
    </xdr:to>
    <xdr:sp macro="" textlink="">
      <xdr:nvSpPr>
        <xdr:cNvPr id="361" name="Diagrama de flujo: conector 360">
          <a:extLst>
            <a:ext uri="{FF2B5EF4-FFF2-40B4-BE49-F238E27FC236}">
              <a16:creationId xmlns:a16="http://schemas.microsoft.com/office/drawing/2014/main" id="{73095E4D-4838-4280-8858-0D34E4FBFEBE}"/>
            </a:ext>
          </a:extLst>
        </xdr:cNvPr>
        <xdr:cNvSpPr/>
      </xdr:nvSpPr>
      <xdr:spPr>
        <a:xfrm>
          <a:off x="222885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41</xdr:col>
      <xdr:colOff>38100</xdr:colOff>
      <xdr:row>12</xdr:row>
      <xdr:rowOff>47625</xdr:rowOff>
    </xdr:from>
    <xdr:to>
      <xdr:col>41</xdr:col>
      <xdr:colOff>104775</xdr:colOff>
      <xdr:row>12</xdr:row>
      <xdr:rowOff>142875</xdr:rowOff>
    </xdr:to>
    <xdr:sp macro="" textlink="">
      <xdr:nvSpPr>
        <xdr:cNvPr id="362" name="Diagrama de flujo: conector 361">
          <a:extLst>
            <a:ext uri="{FF2B5EF4-FFF2-40B4-BE49-F238E27FC236}">
              <a16:creationId xmlns:a16="http://schemas.microsoft.com/office/drawing/2014/main" id="{5EA4DB96-8EB4-4B94-82B8-E247741AA628}"/>
            </a:ext>
          </a:extLst>
        </xdr:cNvPr>
        <xdr:cNvSpPr/>
      </xdr:nvSpPr>
      <xdr:spPr>
        <a:xfrm>
          <a:off x="22288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42</xdr:col>
      <xdr:colOff>38100</xdr:colOff>
      <xdr:row>2</xdr:row>
      <xdr:rowOff>57150</xdr:rowOff>
    </xdr:from>
    <xdr:to>
      <xdr:col>42</xdr:col>
      <xdr:colOff>104775</xdr:colOff>
      <xdr:row>2</xdr:row>
      <xdr:rowOff>152400</xdr:rowOff>
    </xdr:to>
    <xdr:sp macro="" textlink="">
      <xdr:nvSpPr>
        <xdr:cNvPr id="363" name="Diagrama de flujo: conector 362">
          <a:extLst>
            <a:ext uri="{FF2B5EF4-FFF2-40B4-BE49-F238E27FC236}">
              <a16:creationId xmlns:a16="http://schemas.microsoft.com/office/drawing/2014/main" id="{D27BC503-BCE0-4787-9EC3-B48DE2625628}"/>
            </a:ext>
          </a:extLst>
        </xdr:cNvPr>
        <xdr:cNvSpPr/>
      </xdr:nvSpPr>
      <xdr:spPr>
        <a:xfrm>
          <a:off x="23622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42</xdr:col>
      <xdr:colOff>38100</xdr:colOff>
      <xdr:row>3</xdr:row>
      <xdr:rowOff>57150</xdr:rowOff>
    </xdr:from>
    <xdr:to>
      <xdr:col>42</xdr:col>
      <xdr:colOff>104775</xdr:colOff>
      <xdr:row>3</xdr:row>
      <xdr:rowOff>152400</xdr:rowOff>
    </xdr:to>
    <xdr:sp macro="" textlink="">
      <xdr:nvSpPr>
        <xdr:cNvPr id="364" name="Diagrama de flujo: conector 363">
          <a:extLst>
            <a:ext uri="{FF2B5EF4-FFF2-40B4-BE49-F238E27FC236}">
              <a16:creationId xmlns:a16="http://schemas.microsoft.com/office/drawing/2014/main" id="{B9D8C1E7-664A-47B8-B13F-60118B55580B}"/>
            </a:ext>
          </a:extLst>
        </xdr:cNvPr>
        <xdr:cNvSpPr/>
      </xdr:nvSpPr>
      <xdr:spPr>
        <a:xfrm>
          <a:off x="23622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42</xdr:col>
      <xdr:colOff>38100</xdr:colOff>
      <xdr:row>4</xdr:row>
      <xdr:rowOff>57150</xdr:rowOff>
    </xdr:from>
    <xdr:to>
      <xdr:col>42</xdr:col>
      <xdr:colOff>104775</xdr:colOff>
      <xdr:row>4</xdr:row>
      <xdr:rowOff>152400</xdr:rowOff>
    </xdr:to>
    <xdr:sp macro="" textlink="">
      <xdr:nvSpPr>
        <xdr:cNvPr id="365" name="Diagrama de flujo: conector 364">
          <a:extLst>
            <a:ext uri="{FF2B5EF4-FFF2-40B4-BE49-F238E27FC236}">
              <a16:creationId xmlns:a16="http://schemas.microsoft.com/office/drawing/2014/main" id="{C60F85E4-B0B7-4EE6-BFE3-737BC343B7FD}"/>
            </a:ext>
          </a:extLst>
        </xdr:cNvPr>
        <xdr:cNvSpPr/>
      </xdr:nvSpPr>
      <xdr:spPr>
        <a:xfrm>
          <a:off x="23622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42</xdr:col>
      <xdr:colOff>38100</xdr:colOff>
      <xdr:row>5</xdr:row>
      <xdr:rowOff>57150</xdr:rowOff>
    </xdr:from>
    <xdr:to>
      <xdr:col>42</xdr:col>
      <xdr:colOff>104775</xdr:colOff>
      <xdr:row>5</xdr:row>
      <xdr:rowOff>152400</xdr:rowOff>
    </xdr:to>
    <xdr:sp macro="" textlink="">
      <xdr:nvSpPr>
        <xdr:cNvPr id="366" name="Diagrama de flujo: conector 365">
          <a:extLst>
            <a:ext uri="{FF2B5EF4-FFF2-40B4-BE49-F238E27FC236}">
              <a16:creationId xmlns:a16="http://schemas.microsoft.com/office/drawing/2014/main" id="{7269BD65-02D6-42C9-B34F-A3BA8625F0E7}"/>
            </a:ext>
          </a:extLst>
        </xdr:cNvPr>
        <xdr:cNvSpPr/>
      </xdr:nvSpPr>
      <xdr:spPr>
        <a:xfrm>
          <a:off x="23622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42</xdr:col>
      <xdr:colOff>38100</xdr:colOff>
      <xdr:row>6</xdr:row>
      <xdr:rowOff>47625</xdr:rowOff>
    </xdr:from>
    <xdr:to>
      <xdr:col>42</xdr:col>
      <xdr:colOff>104775</xdr:colOff>
      <xdr:row>6</xdr:row>
      <xdr:rowOff>142875</xdr:rowOff>
    </xdr:to>
    <xdr:sp macro="" textlink="">
      <xdr:nvSpPr>
        <xdr:cNvPr id="367" name="Diagrama de flujo: conector 366">
          <a:extLst>
            <a:ext uri="{FF2B5EF4-FFF2-40B4-BE49-F238E27FC236}">
              <a16:creationId xmlns:a16="http://schemas.microsoft.com/office/drawing/2014/main" id="{CA46D516-76E4-46C9-9987-CE0687DB398E}"/>
            </a:ext>
          </a:extLst>
        </xdr:cNvPr>
        <xdr:cNvSpPr/>
      </xdr:nvSpPr>
      <xdr:spPr>
        <a:xfrm>
          <a:off x="236220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42</xdr:col>
      <xdr:colOff>38100</xdr:colOff>
      <xdr:row>7</xdr:row>
      <xdr:rowOff>47625</xdr:rowOff>
    </xdr:from>
    <xdr:to>
      <xdr:col>42</xdr:col>
      <xdr:colOff>104775</xdr:colOff>
      <xdr:row>7</xdr:row>
      <xdr:rowOff>142875</xdr:rowOff>
    </xdr:to>
    <xdr:sp macro="" textlink="">
      <xdr:nvSpPr>
        <xdr:cNvPr id="368" name="Diagrama de flujo: conector 367">
          <a:extLst>
            <a:ext uri="{FF2B5EF4-FFF2-40B4-BE49-F238E27FC236}">
              <a16:creationId xmlns:a16="http://schemas.microsoft.com/office/drawing/2014/main" id="{13133AAD-9EAC-4E83-8544-FAD6676D81F9}"/>
            </a:ext>
          </a:extLst>
        </xdr:cNvPr>
        <xdr:cNvSpPr/>
      </xdr:nvSpPr>
      <xdr:spPr>
        <a:xfrm>
          <a:off x="23622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42</xdr:col>
      <xdr:colOff>38100</xdr:colOff>
      <xdr:row>8</xdr:row>
      <xdr:rowOff>57150</xdr:rowOff>
    </xdr:from>
    <xdr:to>
      <xdr:col>42</xdr:col>
      <xdr:colOff>104775</xdr:colOff>
      <xdr:row>8</xdr:row>
      <xdr:rowOff>152400</xdr:rowOff>
    </xdr:to>
    <xdr:sp macro="" textlink="">
      <xdr:nvSpPr>
        <xdr:cNvPr id="369" name="Diagrama de flujo: conector 368">
          <a:extLst>
            <a:ext uri="{FF2B5EF4-FFF2-40B4-BE49-F238E27FC236}">
              <a16:creationId xmlns:a16="http://schemas.microsoft.com/office/drawing/2014/main" id="{E1ED2A68-79AB-4617-94CB-7BCB9CB3DAA6}"/>
            </a:ext>
          </a:extLst>
        </xdr:cNvPr>
        <xdr:cNvSpPr/>
      </xdr:nvSpPr>
      <xdr:spPr>
        <a:xfrm>
          <a:off x="23622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42</xdr:col>
      <xdr:colOff>38100</xdr:colOff>
      <xdr:row>9</xdr:row>
      <xdr:rowOff>57150</xdr:rowOff>
    </xdr:from>
    <xdr:to>
      <xdr:col>42</xdr:col>
      <xdr:colOff>104775</xdr:colOff>
      <xdr:row>9</xdr:row>
      <xdr:rowOff>152400</xdr:rowOff>
    </xdr:to>
    <xdr:sp macro="" textlink="">
      <xdr:nvSpPr>
        <xdr:cNvPr id="370" name="Diagrama de flujo: conector 369">
          <a:extLst>
            <a:ext uri="{FF2B5EF4-FFF2-40B4-BE49-F238E27FC236}">
              <a16:creationId xmlns:a16="http://schemas.microsoft.com/office/drawing/2014/main" id="{C0FD5C4E-80C8-4D81-ADD6-DD040BEF26CC}"/>
            </a:ext>
          </a:extLst>
        </xdr:cNvPr>
        <xdr:cNvSpPr/>
      </xdr:nvSpPr>
      <xdr:spPr>
        <a:xfrm>
          <a:off x="23622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42</xdr:col>
      <xdr:colOff>38100</xdr:colOff>
      <xdr:row>10</xdr:row>
      <xdr:rowOff>47625</xdr:rowOff>
    </xdr:from>
    <xdr:to>
      <xdr:col>42</xdr:col>
      <xdr:colOff>104775</xdr:colOff>
      <xdr:row>10</xdr:row>
      <xdr:rowOff>142875</xdr:rowOff>
    </xdr:to>
    <xdr:sp macro="" textlink="">
      <xdr:nvSpPr>
        <xdr:cNvPr id="371" name="Diagrama de flujo: conector 370">
          <a:extLst>
            <a:ext uri="{FF2B5EF4-FFF2-40B4-BE49-F238E27FC236}">
              <a16:creationId xmlns:a16="http://schemas.microsoft.com/office/drawing/2014/main" id="{4B17C84F-02D8-4754-A633-887FD5D836EF}"/>
            </a:ext>
          </a:extLst>
        </xdr:cNvPr>
        <xdr:cNvSpPr/>
      </xdr:nvSpPr>
      <xdr:spPr>
        <a:xfrm>
          <a:off x="236220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42</xdr:col>
      <xdr:colOff>38100</xdr:colOff>
      <xdr:row>12</xdr:row>
      <xdr:rowOff>47625</xdr:rowOff>
    </xdr:from>
    <xdr:to>
      <xdr:col>42</xdr:col>
      <xdr:colOff>104775</xdr:colOff>
      <xdr:row>12</xdr:row>
      <xdr:rowOff>142875</xdr:rowOff>
    </xdr:to>
    <xdr:sp macro="" textlink="">
      <xdr:nvSpPr>
        <xdr:cNvPr id="372" name="Diagrama de flujo: conector 371">
          <a:extLst>
            <a:ext uri="{FF2B5EF4-FFF2-40B4-BE49-F238E27FC236}">
              <a16:creationId xmlns:a16="http://schemas.microsoft.com/office/drawing/2014/main" id="{4922AAF2-D97B-4CA5-BDDD-60A2DF1899E8}"/>
            </a:ext>
          </a:extLst>
        </xdr:cNvPr>
        <xdr:cNvSpPr/>
      </xdr:nvSpPr>
      <xdr:spPr>
        <a:xfrm>
          <a:off x="23622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43</xdr:col>
      <xdr:colOff>38100</xdr:colOff>
      <xdr:row>2</xdr:row>
      <xdr:rowOff>57150</xdr:rowOff>
    </xdr:from>
    <xdr:to>
      <xdr:col>43</xdr:col>
      <xdr:colOff>104775</xdr:colOff>
      <xdr:row>2</xdr:row>
      <xdr:rowOff>152400</xdr:rowOff>
    </xdr:to>
    <xdr:sp macro="" textlink="">
      <xdr:nvSpPr>
        <xdr:cNvPr id="373" name="Diagrama de flujo: conector 372">
          <a:extLst>
            <a:ext uri="{FF2B5EF4-FFF2-40B4-BE49-F238E27FC236}">
              <a16:creationId xmlns:a16="http://schemas.microsoft.com/office/drawing/2014/main" id="{E4EE955E-AA35-4567-9DE9-B5A295A6F7B7}"/>
            </a:ext>
          </a:extLst>
        </xdr:cNvPr>
        <xdr:cNvSpPr/>
      </xdr:nvSpPr>
      <xdr:spPr>
        <a:xfrm>
          <a:off x="24955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43</xdr:col>
      <xdr:colOff>38100</xdr:colOff>
      <xdr:row>3</xdr:row>
      <xdr:rowOff>57150</xdr:rowOff>
    </xdr:from>
    <xdr:to>
      <xdr:col>43</xdr:col>
      <xdr:colOff>104775</xdr:colOff>
      <xdr:row>3</xdr:row>
      <xdr:rowOff>152400</xdr:rowOff>
    </xdr:to>
    <xdr:sp macro="" textlink="">
      <xdr:nvSpPr>
        <xdr:cNvPr id="374" name="Diagrama de flujo: conector 373">
          <a:extLst>
            <a:ext uri="{FF2B5EF4-FFF2-40B4-BE49-F238E27FC236}">
              <a16:creationId xmlns:a16="http://schemas.microsoft.com/office/drawing/2014/main" id="{EBCCED61-E873-488D-83FC-D044EA65FBC8}"/>
            </a:ext>
          </a:extLst>
        </xdr:cNvPr>
        <xdr:cNvSpPr/>
      </xdr:nvSpPr>
      <xdr:spPr>
        <a:xfrm>
          <a:off x="24955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43</xdr:col>
      <xdr:colOff>38100</xdr:colOff>
      <xdr:row>4</xdr:row>
      <xdr:rowOff>57150</xdr:rowOff>
    </xdr:from>
    <xdr:to>
      <xdr:col>43</xdr:col>
      <xdr:colOff>104775</xdr:colOff>
      <xdr:row>4</xdr:row>
      <xdr:rowOff>152400</xdr:rowOff>
    </xdr:to>
    <xdr:sp macro="" textlink="">
      <xdr:nvSpPr>
        <xdr:cNvPr id="375" name="Diagrama de flujo: conector 374">
          <a:extLst>
            <a:ext uri="{FF2B5EF4-FFF2-40B4-BE49-F238E27FC236}">
              <a16:creationId xmlns:a16="http://schemas.microsoft.com/office/drawing/2014/main" id="{0B48734E-7C0E-4BDA-8BF9-DFEB07110415}"/>
            </a:ext>
          </a:extLst>
        </xdr:cNvPr>
        <xdr:cNvSpPr/>
      </xdr:nvSpPr>
      <xdr:spPr>
        <a:xfrm>
          <a:off x="24955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43</xdr:col>
      <xdr:colOff>38100</xdr:colOff>
      <xdr:row>5</xdr:row>
      <xdr:rowOff>57150</xdr:rowOff>
    </xdr:from>
    <xdr:to>
      <xdr:col>43</xdr:col>
      <xdr:colOff>104775</xdr:colOff>
      <xdr:row>5</xdr:row>
      <xdr:rowOff>152400</xdr:rowOff>
    </xdr:to>
    <xdr:sp macro="" textlink="">
      <xdr:nvSpPr>
        <xdr:cNvPr id="376" name="Diagrama de flujo: conector 375">
          <a:extLst>
            <a:ext uri="{FF2B5EF4-FFF2-40B4-BE49-F238E27FC236}">
              <a16:creationId xmlns:a16="http://schemas.microsoft.com/office/drawing/2014/main" id="{458B84FE-494A-481C-9D58-AF8BEFDCC4F7}"/>
            </a:ext>
          </a:extLst>
        </xdr:cNvPr>
        <xdr:cNvSpPr/>
      </xdr:nvSpPr>
      <xdr:spPr>
        <a:xfrm>
          <a:off x="24955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43</xdr:col>
      <xdr:colOff>38100</xdr:colOff>
      <xdr:row>6</xdr:row>
      <xdr:rowOff>47625</xdr:rowOff>
    </xdr:from>
    <xdr:to>
      <xdr:col>43</xdr:col>
      <xdr:colOff>104775</xdr:colOff>
      <xdr:row>6</xdr:row>
      <xdr:rowOff>142875</xdr:rowOff>
    </xdr:to>
    <xdr:sp macro="" textlink="">
      <xdr:nvSpPr>
        <xdr:cNvPr id="377" name="Diagrama de flujo: conector 376">
          <a:extLst>
            <a:ext uri="{FF2B5EF4-FFF2-40B4-BE49-F238E27FC236}">
              <a16:creationId xmlns:a16="http://schemas.microsoft.com/office/drawing/2014/main" id="{48DB643B-1F4A-4056-A8E8-211AB04D311E}"/>
            </a:ext>
          </a:extLst>
        </xdr:cNvPr>
        <xdr:cNvSpPr/>
      </xdr:nvSpPr>
      <xdr:spPr>
        <a:xfrm>
          <a:off x="249555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43</xdr:col>
      <xdr:colOff>38100</xdr:colOff>
      <xdr:row>7</xdr:row>
      <xdr:rowOff>47625</xdr:rowOff>
    </xdr:from>
    <xdr:to>
      <xdr:col>43</xdr:col>
      <xdr:colOff>104775</xdr:colOff>
      <xdr:row>7</xdr:row>
      <xdr:rowOff>142875</xdr:rowOff>
    </xdr:to>
    <xdr:sp macro="" textlink="">
      <xdr:nvSpPr>
        <xdr:cNvPr id="378" name="Diagrama de flujo: conector 377">
          <a:extLst>
            <a:ext uri="{FF2B5EF4-FFF2-40B4-BE49-F238E27FC236}">
              <a16:creationId xmlns:a16="http://schemas.microsoft.com/office/drawing/2014/main" id="{35925D8E-199A-43B9-BA2A-BD72D88EE416}"/>
            </a:ext>
          </a:extLst>
        </xdr:cNvPr>
        <xdr:cNvSpPr/>
      </xdr:nvSpPr>
      <xdr:spPr>
        <a:xfrm>
          <a:off x="24955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43</xdr:col>
      <xdr:colOff>38100</xdr:colOff>
      <xdr:row>8</xdr:row>
      <xdr:rowOff>57150</xdr:rowOff>
    </xdr:from>
    <xdr:to>
      <xdr:col>43</xdr:col>
      <xdr:colOff>104775</xdr:colOff>
      <xdr:row>8</xdr:row>
      <xdr:rowOff>152400</xdr:rowOff>
    </xdr:to>
    <xdr:sp macro="" textlink="">
      <xdr:nvSpPr>
        <xdr:cNvPr id="379" name="Diagrama de flujo: conector 378">
          <a:extLst>
            <a:ext uri="{FF2B5EF4-FFF2-40B4-BE49-F238E27FC236}">
              <a16:creationId xmlns:a16="http://schemas.microsoft.com/office/drawing/2014/main" id="{8A149158-DF59-4186-B311-85AC931C5F45}"/>
            </a:ext>
          </a:extLst>
        </xdr:cNvPr>
        <xdr:cNvSpPr/>
      </xdr:nvSpPr>
      <xdr:spPr>
        <a:xfrm>
          <a:off x="24955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43</xdr:col>
      <xdr:colOff>38100</xdr:colOff>
      <xdr:row>9</xdr:row>
      <xdr:rowOff>57150</xdr:rowOff>
    </xdr:from>
    <xdr:to>
      <xdr:col>43</xdr:col>
      <xdr:colOff>104775</xdr:colOff>
      <xdr:row>9</xdr:row>
      <xdr:rowOff>152400</xdr:rowOff>
    </xdr:to>
    <xdr:sp macro="" textlink="">
      <xdr:nvSpPr>
        <xdr:cNvPr id="380" name="Diagrama de flujo: conector 379">
          <a:extLst>
            <a:ext uri="{FF2B5EF4-FFF2-40B4-BE49-F238E27FC236}">
              <a16:creationId xmlns:a16="http://schemas.microsoft.com/office/drawing/2014/main" id="{8B40C5AF-B5CD-4DFE-9531-5AC425E263D3}"/>
            </a:ext>
          </a:extLst>
        </xdr:cNvPr>
        <xdr:cNvSpPr/>
      </xdr:nvSpPr>
      <xdr:spPr>
        <a:xfrm>
          <a:off x="24955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43</xdr:col>
      <xdr:colOff>38100</xdr:colOff>
      <xdr:row>10</xdr:row>
      <xdr:rowOff>47625</xdr:rowOff>
    </xdr:from>
    <xdr:to>
      <xdr:col>43</xdr:col>
      <xdr:colOff>104775</xdr:colOff>
      <xdr:row>10</xdr:row>
      <xdr:rowOff>142875</xdr:rowOff>
    </xdr:to>
    <xdr:sp macro="" textlink="">
      <xdr:nvSpPr>
        <xdr:cNvPr id="381" name="Diagrama de flujo: conector 380">
          <a:extLst>
            <a:ext uri="{FF2B5EF4-FFF2-40B4-BE49-F238E27FC236}">
              <a16:creationId xmlns:a16="http://schemas.microsoft.com/office/drawing/2014/main" id="{8234207C-15F5-4F7D-BF88-6D4B5F408B94}"/>
            </a:ext>
          </a:extLst>
        </xdr:cNvPr>
        <xdr:cNvSpPr/>
      </xdr:nvSpPr>
      <xdr:spPr>
        <a:xfrm>
          <a:off x="249555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43</xdr:col>
      <xdr:colOff>38100</xdr:colOff>
      <xdr:row>12</xdr:row>
      <xdr:rowOff>47625</xdr:rowOff>
    </xdr:from>
    <xdr:to>
      <xdr:col>43</xdr:col>
      <xdr:colOff>104775</xdr:colOff>
      <xdr:row>12</xdr:row>
      <xdr:rowOff>142875</xdr:rowOff>
    </xdr:to>
    <xdr:sp macro="" textlink="">
      <xdr:nvSpPr>
        <xdr:cNvPr id="382" name="Diagrama de flujo: conector 381">
          <a:extLst>
            <a:ext uri="{FF2B5EF4-FFF2-40B4-BE49-F238E27FC236}">
              <a16:creationId xmlns:a16="http://schemas.microsoft.com/office/drawing/2014/main" id="{3332FF9C-3C92-4A99-8586-645108927CA1}"/>
            </a:ext>
          </a:extLst>
        </xdr:cNvPr>
        <xdr:cNvSpPr/>
      </xdr:nvSpPr>
      <xdr:spPr>
        <a:xfrm>
          <a:off x="24955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44</xdr:col>
      <xdr:colOff>38100</xdr:colOff>
      <xdr:row>2</xdr:row>
      <xdr:rowOff>57150</xdr:rowOff>
    </xdr:from>
    <xdr:to>
      <xdr:col>44</xdr:col>
      <xdr:colOff>104775</xdr:colOff>
      <xdr:row>2</xdr:row>
      <xdr:rowOff>152400</xdr:rowOff>
    </xdr:to>
    <xdr:sp macro="" textlink="">
      <xdr:nvSpPr>
        <xdr:cNvPr id="383" name="Diagrama de flujo: conector 382">
          <a:extLst>
            <a:ext uri="{FF2B5EF4-FFF2-40B4-BE49-F238E27FC236}">
              <a16:creationId xmlns:a16="http://schemas.microsoft.com/office/drawing/2014/main" id="{5FDA2737-7E62-4CEE-830D-E7BD3D31F0AE}"/>
            </a:ext>
          </a:extLst>
        </xdr:cNvPr>
        <xdr:cNvSpPr/>
      </xdr:nvSpPr>
      <xdr:spPr>
        <a:xfrm>
          <a:off x="26289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44</xdr:col>
      <xdr:colOff>38100</xdr:colOff>
      <xdr:row>3</xdr:row>
      <xdr:rowOff>57150</xdr:rowOff>
    </xdr:from>
    <xdr:to>
      <xdr:col>44</xdr:col>
      <xdr:colOff>104775</xdr:colOff>
      <xdr:row>3</xdr:row>
      <xdr:rowOff>152400</xdr:rowOff>
    </xdr:to>
    <xdr:sp macro="" textlink="">
      <xdr:nvSpPr>
        <xdr:cNvPr id="384" name="Diagrama de flujo: conector 383">
          <a:extLst>
            <a:ext uri="{FF2B5EF4-FFF2-40B4-BE49-F238E27FC236}">
              <a16:creationId xmlns:a16="http://schemas.microsoft.com/office/drawing/2014/main" id="{3BD0C925-FCD5-412F-A771-D637185FF39D}"/>
            </a:ext>
          </a:extLst>
        </xdr:cNvPr>
        <xdr:cNvSpPr/>
      </xdr:nvSpPr>
      <xdr:spPr>
        <a:xfrm>
          <a:off x="26289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44</xdr:col>
      <xdr:colOff>38100</xdr:colOff>
      <xdr:row>4</xdr:row>
      <xdr:rowOff>57150</xdr:rowOff>
    </xdr:from>
    <xdr:to>
      <xdr:col>44</xdr:col>
      <xdr:colOff>104775</xdr:colOff>
      <xdr:row>4</xdr:row>
      <xdr:rowOff>152400</xdr:rowOff>
    </xdr:to>
    <xdr:sp macro="" textlink="">
      <xdr:nvSpPr>
        <xdr:cNvPr id="385" name="Diagrama de flujo: conector 384">
          <a:extLst>
            <a:ext uri="{FF2B5EF4-FFF2-40B4-BE49-F238E27FC236}">
              <a16:creationId xmlns:a16="http://schemas.microsoft.com/office/drawing/2014/main" id="{9194C61F-AB72-4B18-9F29-802BFD275A54}"/>
            </a:ext>
          </a:extLst>
        </xdr:cNvPr>
        <xdr:cNvSpPr/>
      </xdr:nvSpPr>
      <xdr:spPr>
        <a:xfrm>
          <a:off x="26289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44</xdr:col>
      <xdr:colOff>38100</xdr:colOff>
      <xdr:row>5</xdr:row>
      <xdr:rowOff>57150</xdr:rowOff>
    </xdr:from>
    <xdr:to>
      <xdr:col>44</xdr:col>
      <xdr:colOff>104775</xdr:colOff>
      <xdr:row>5</xdr:row>
      <xdr:rowOff>152400</xdr:rowOff>
    </xdr:to>
    <xdr:sp macro="" textlink="">
      <xdr:nvSpPr>
        <xdr:cNvPr id="386" name="Diagrama de flujo: conector 385">
          <a:extLst>
            <a:ext uri="{FF2B5EF4-FFF2-40B4-BE49-F238E27FC236}">
              <a16:creationId xmlns:a16="http://schemas.microsoft.com/office/drawing/2014/main" id="{5EBE18B7-2954-4653-94CA-6A405AA34943}"/>
            </a:ext>
          </a:extLst>
        </xdr:cNvPr>
        <xdr:cNvSpPr/>
      </xdr:nvSpPr>
      <xdr:spPr>
        <a:xfrm>
          <a:off x="26289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44</xdr:col>
      <xdr:colOff>38100</xdr:colOff>
      <xdr:row>6</xdr:row>
      <xdr:rowOff>47625</xdr:rowOff>
    </xdr:from>
    <xdr:to>
      <xdr:col>44</xdr:col>
      <xdr:colOff>104775</xdr:colOff>
      <xdr:row>6</xdr:row>
      <xdr:rowOff>142875</xdr:rowOff>
    </xdr:to>
    <xdr:sp macro="" textlink="">
      <xdr:nvSpPr>
        <xdr:cNvPr id="387" name="Diagrama de flujo: conector 386">
          <a:extLst>
            <a:ext uri="{FF2B5EF4-FFF2-40B4-BE49-F238E27FC236}">
              <a16:creationId xmlns:a16="http://schemas.microsoft.com/office/drawing/2014/main" id="{9A17297A-6075-44EE-800F-A495A5C2B17A}"/>
            </a:ext>
          </a:extLst>
        </xdr:cNvPr>
        <xdr:cNvSpPr/>
      </xdr:nvSpPr>
      <xdr:spPr>
        <a:xfrm>
          <a:off x="262890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44</xdr:col>
      <xdr:colOff>38100</xdr:colOff>
      <xdr:row>7</xdr:row>
      <xdr:rowOff>47625</xdr:rowOff>
    </xdr:from>
    <xdr:to>
      <xdr:col>44</xdr:col>
      <xdr:colOff>104775</xdr:colOff>
      <xdr:row>7</xdr:row>
      <xdr:rowOff>142875</xdr:rowOff>
    </xdr:to>
    <xdr:sp macro="" textlink="">
      <xdr:nvSpPr>
        <xdr:cNvPr id="388" name="Diagrama de flujo: conector 387">
          <a:extLst>
            <a:ext uri="{FF2B5EF4-FFF2-40B4-BE49-F238E27FC236}">
              <a16:creationId xmlns:a16="http://schemas.microsoft.com/office/drawing/2014/main" id="{429771B6-E9D1-47C7-BC01-3917DE535DE9}"/>
            </a:ext>
          </a:extLst>
        </xdr:cNvPr>
        <xdr:cNvSpPr/>
      </xdr:nvSpPr>
      <xdr:spPr>
        <a:xfrm>
          <a:off x="26289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44</xdr:col>
      <xdr:colOff>38100</xdr:colOff>
      <xdr:row>8</xdr:row>
      <xdr:rowOff>57150</xdr:rowOff>
    </xdr:from>
    <xdr:to>
      <xdr:col>44</xdr:col>
      <xdr:colOff>104775</xdr:colOff>
      <xdr:row>8</xdr:row>
      <xdr:rowOff>152400</xdr:rowOff>
    </xdr:to>
    <xdr:sp macro="" textlink="">
      <xdr:nvSpPr>
        <xdr:cNvPr id="389" name="Diagrama de flujo: conector 388">
          <a:extLst>
            <a:ext uri="{FF2B5EF4-FFF2-40B4-BE49-F238E27FC236}">
              <a16:creationId xmlns:a16="http://schemas.microsoft.com/office/drawing/2014/main" id="{5B07AA81-2127-4131-AB90-515704040CE6}"/>
            </a:ext>
          </a:extLst>
        </xdr:cNvPr>
        <xdr:cNvSpPr/>
      </xdr:nvSpPr>
      <xdr:spPr>
        <a:xfrm>
          <a:off x="26289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44</xdr:col>
      <xdr:colOff>38100</xdr:colOff>
      <xdr:row>9</xdr:row>
      <xdr:rowOff>57150</xdr:rowOff>
    </xdr:from>
    <xdr:to>
      <xdr:col>44</xdr:col>
      <xdr:colOff>104775</xdr:colOff>
      <xdr:row>9</xdr:row>
      <xdr:rowOff>152400</xdr:rowOff>
    </xdr:to>
    <xdr:sp macro="" textlink="">
      <xdr:nvSpPr>
        <xdr:cNvPr id="390" name="Diagrama de flujo: conector 389">
          <a:extLst>
            <a:ext uri="{FF2B5EF4-FFF2-40B4-BE49-F238E27FC236}">
              <a16:creationId xmlns:a16="http://schemas.microsoft.com/office/drawing/2014/main" id="{1E680A5C-70E3-4E3D-AE22-A28B3C8603C7}"/>
            </a:ext>
          </a:extLst>
        </xdr:cNvPr>
        <xdr:cNvSpPr/>
      </xdr:nvSpPr>
      <xdr:spPr>
        <a:xfrm>
          <a:off x="26289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44</xdr:col>
      <xdr:colOff>38100</xdr:colOff>
      <xdr:row>10</xdr:row>
      <xdr:rowOff>47625</xdr:rowOff>
    </xdr:from>
    <xdr:to>
      <xdr:col>44</xdr:col>
      <xdr:colOff>104775</xdr:colOff>
      <xdr:row>10</xdr:row>
      <xdr:rowOff>142875</xdr:rowOff>
    </xdr:to>
    <xdr:sp macro="" textlink="">
      <xdr:nvSpPr>
        <xdr:cNvPr id="391" name="Diagrama de flujo: conector 390">
          <a:extLst>
            <a:ext uri="{FF2B5EF4-FFF2-40B4-BE49-F238E27FC236}">
              <a16:creationId xmlns:a16="http://schemas.microsoft.com/office/drawing/2014/main" id="{DEB8D462-65B2-478B-B484-9C4032BAB467}"/>
            </a:ext>
          </a:extLst>
        </xdr:cNvPr>
        <xdr:cNvSpPr/>
      </xdr:nvSpPr>
      <xdr:spPr>
        <a:xfrm>
          <a:off x="262890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44</xdr:col>
      <xdr:colOff>38100</xdr:colOff>
      <xdr:row>12</xdr:row>
      <xdr:rowOff>47625</xdr:rowOff>
    </xdr:from>
    <xdr:to>
      <xdr:col>44</xdr:col>
      <xdr:colOff>104775</xdr:colOff>
      <xdr:row>12</xdr:row>
      <xdr:rowOff>142875</xdr:rowOff>
    </xdr:to>
    <xdr:sp macro="" textlink="">
      <xdr:nvSpPr>
        <xdr:cNvPr id="392" name="Diagrama de flujo: conector 391">
          <a:extLst>
            <a:ext uri="{FF2B5EF4-FFF2-40B4-BE49-F238E27FC236}">
              <a16:creationId xmlns:a16="http://schemas.microsoft.com/office/drawing/2014/main" id="{62475D8A-A64E-4F73-8B95-47FCA977F301}"/>
            </a:ext>
          </a:extLst>
        </xdr:cNvPr>
        <xdr:cNvSpPr/>
      </xdr:nvSpPr>
      <xdr:spPr>
        <a:xfrm>
          <a:off x="26289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45</xdr:col>
      <xdr:colOff>38100</xdr:colOff>
      <xdr:row>2</xdr:row>
      <xdr:rowOff>57150</xdr:rowOff>
    </xdr:from>
    <xdr:to>
      <xdr:col>45</xdr:col>
      <xdr:colOff>104775</xdr:colOff>
      <xdr:row>2</xdr:row>
      <xdr:rowOff>152400</xdr:rowOff>
    </xdr:to>
    <xdr:sp macro="" textlink="">
      <xdr:nvSpPr>
        <xdr:cNvPr id="393" name="Diagrama de flujo: conector 392">
          <a:extLst>
            <a:ext uri="{FF2B5EF4-FFF2-40B4-BE49-F238E27FC236}">
              <a16:creationId xmlns:a16="http://schemas.microsoft.com/office/drawing/2014/main" id="{D7C38C45-6B00-49D9-86BC-DDEB6F53F3F7}"/>
            </a:ext>
          </a:extLst>
        </xdr:cNvPr>
        <xdr:cNvSpPr/>
      </xdr:nvSpPr>
      <xdr:spPr>
        <a:xfrm>
          <a:off x="27622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45</xdr:col>
      <xdr:colOff>38100</xdr:colOff>
      <xdr:row>3</xdr:row>
      <xdr:rowOff>57150</xdr:rowOff>
    </xdr:from>
    <xdr:to>
      <xdr:col>45</xdr:col>
      <xdr:colOff>104775</xdr:colOff>
      <xdr:row>3</xdr:row>
      <xdr:rowOff>152400</xdr:rowOff>
    </xdr:to>
    <xdr:sp macro="" textlink="">
      <xdr:nvSpPr>
        <xdr:cNvPr id="394" name="Diagrama de flujo: conector 393">
          <a:extLst>
            <a:ext uri="{FF2B5EF4-FFF2-40B4-BE49-F238E27FC236}">
              <a16:creationId xmlns:a16="http://schemas.microsoft.com/office/drawing/2014/main" id="{499FC950-764B-4814-B0A4-76F96DFD5B50}"/>
            </a:ext>
          </a:extLst>
        </xdr:cNvPr>
        <xdr:cNvSpPr/>
      </xdr:nvSpPr>
      <xdr:spPr>
        <a:xfrm>
          <a:off x="27622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45</xdr:col>
      <xdr:colOff>38100</xdr:colOff>
      <xdr:row>4</xdr:row>
      <xdr:rowOff>57150</xdr:rowOff>
    </xdr:from>
    <xdr:to>
      <xdr:col>45</xdr:col>
      <xdr:colOff>104775</xdr:colOff>
      <xdr:row>4</xdr:row>
      <xdr:rowOff>152400</xdr:rowOff>
    </xdr:to>
    <xdr:sp macro="" textlink="">
      <xdr:nvSpPr>
        <xdr:cNvPr id="395" name="Diagrama de flujo: conector 394">
          <a:extLst>
            <a:ext uri="{FF2B5EF4-FFF2-40B4-BE49-F238E27FC236}">
              <a16:creationId xmlns:a16="http://schemas.microsoft.com/office/drawing/2014/main" id="{9F111877-406F-4E02-A581-A995F98CF1B0}"/>
            </a:ext>
          </a:extLst>
        </xdr:cNvPr>
        <xdr:cNvSpPr/>
      </xdr:nvSpPr>
      <xdr:spPr>
        <a:xfrm>
          <a:off x="27622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45</xdr:col>
      <xdr:colOff>38100</xdr:colOff>
      <xdr:row>5</xdr:row>
      <xdr:rowOff>57150</xdr:rowOff>
    </xdr:from>
    <xdr:to>
      <xdr:col>45</xdr:col>
      <xdr:colOff>104775</xdr:colOff>
      <xdr:row>5</xdr:row>
      <xdr:rowOff>152400</xdr:rowOff>
    </xdr:to>
    <xdr:sp macro="" textlink="">
      <xdr:nvSpPr>
        <xdr:cNvPr id="396" name="Diagrama de flujo: conector 395">
          <a:extLst>
            <a:ext uri="{FF2B5EF4-FFF2-40B4-BE49-F238E27FC236}">
              <a16:creationId xmlns:a16="http://schemas.microsoft.com/office/drawing/2014/main" id="{7C1D4EF6-AF15-4282-A7B0-9963839EAC7D}"/>
            </a:ext>
          </a:extLst>
        </xdr:cNvPr>
        <xdr:cNvSpPr/>
      </xdr:nvSpPr>
      <xdr:spPr>
        <a:xfrm>
          <a:off x="27622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45</xdr:col>
      <xdr:colOff>38100</xdr:colOff>
      <xdr:row>6</xdr:row>
      <xdr:rowOff>47625</xdr:rowOff>
    </xdr:from>
    <xdr:to>
      <xdr:col>45</xdr:col>
      <xdr:colOff>104775</xdr:colOff>
      <xdr:row>6</xdr:row>
      <xdr:rowOff>142875</xdr:rowOff>
    </xdr:to>
    <xdr:sp macro="" textlink="">
      <xdr:nvSpPr>
        <xdr:cNvPr id="397" name="Diagrama de flujo: conector 396">
          <a:extLst>
            <a:ext uri="{FF2B5EF4-FFF2-40B4-BE49-F238E27FC236}">
              <a16:creationId xmlns:a16="http://schemas.microsoft.com/office/drawing/2014/main" id="{530BD547-20AE-49D2-B6C5-D2655F8349BD}"/>
            </a:ext>
          </a:extLst>
        </xdr:cNvPr>
        <xdr:cNvSpPr/>
      </xdr:nvSpPr>
      <xdr:spPr>
        <a:xfrm>
          <a:off x="276225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45</xdr:col>
      <xdr:colOff>38100</xdr:colOff>
      <xdr:row>7</xdr:row>
      <xdr:rowOff>47625</xdr:rowOff>
    </xdr:from>
    <xdr:to>
      <xdr:col>45</xdr:col>
      <xdr:colOff>104775</xdr:colOff>
      <xdr:row>7</xdr:row>
      <xdr:rowOff>142875</xdr:rowOff>
    </xdr:to>
    <xdr:sp macro="" textlink="">
      <xdr:nvSpPr>
        <xdr:cNvPr id="398" name="Diagrama de flujo: conector 397">
          <a:extLst>
            <a:ext uri="{FF2B5EF4-FFF2-40B4-BE49-F238E27FC236}">
              <a16:creationId xmlns:a16="http://schemas.microsoft.com/office/drawing/2014/main" id="{39209661-7809-4ADE-A60B-31DC2A3F1203}"/>
            </a:ext>
          </a:extLst>
        </xdr:cNvPr>
        <xdr:cNvSpPr/>
      </xdr:nvSpPr>
      <xdr:spPr>
        <a:xfrm>
          <a:off x="27622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45</xdr:col>
      <xdr:colOff>38100</xdr:colOff>
      <xdr:row>8</xdr:row>
      <xdr:rowOff>57150</xdr:rowOff>
    </xdr:from>
    <xdr:to>
      <xdr:col>45</xdr:col>
      <xdr:colOff>104775</xdr:colOff>
      <xdr:row>8</xdr:row>
      <xdr:rowOff>152400</xdr:rowOff>
    </xdr:to>
    <xdr:sp macro="" textlink="">
      <xdr:nvSpPr>
        <xdr:cNvPr id="399" name="Diagrama de flujo: conector 398">
          <a:extLst>
            <a:ext uri="{FF2B5EF4-FFF2-40B4-BE49-F238E27FC236}">
              <a16:creationId xmlns:a16="http://schemas.microsoft.com/office/drawing/2014/main" id="{304AF42D-286B-44A9-AE3C-2115A4C68F80}"/>
            </a:ext>
          </a:extLst>
        </xdr:cNvPr>
        <xdr:cNvSpPr/>
      </xdr:nvSpPr>
      <xdr:spPr>
        <a:xfrm>
          <a:off x="27622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45</xdr:col>
      <xdr:colOff>38100</xdr:colOff>
      <xdr:row>9</xdr:row>
      <xdr:rowOff>57150</xdr:rowOff>
    </xdr:from>
    <xdr:to>
      <xdr:col>45</xdr:col>
      <xdr:colOff>104775</xdr:colOff>
      <xdr:row>9</xdr:row>
      <xdr:rowOff>152400</xdr:rowOff>
    </xdr:to>
    <xdr:sp macro="" textlink="">
      <xdr:nvSpPr>
        <xdr:cNvPr id="400" name="Diagrama de flujo: conector 399">
          <a:extLst>
            <a:ext uri="{FF2B5EF4-FFF2-40B4-BE49-F238E27FC236}">
              <a16:creationId xmlns:a16="http://schemas.microsoft.com/office/drawing/2014/main" id="{0FE3F7B2-6F3E-45DA-8D26-746173A337AA}"/>
            </a:ext>
          </a:extLst>
        </xdr:cNvPr>
        <xdr:cNvSpPr/>
      </xdr:nvSpPr>
      <xdr:spPr>
        <a:xfrm>
          <a:off x="27622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45</xdr:col>
      <xdr:colOff>38100</xdr:colOff>
      <xdr:row>10</xdr:row>
      <xdr:rowOff>47625</xdr:rowOff>
    </xdr:from>
    <xdr:to>
      <xdr:col>45</xdr:col>
      <xdr:colOff>104775</xdr:colOff>
      <xdr:row>10</xdr:row>
      <xdr:rowOff>142875</xdr:rowOff>
    </xdr:to>
    <xdr:sp macro="" textlink="">
      <xdr:nvSpPr>
        <xdr:cNvPr id="401" name="Diagrama de flujo: conector 400">
          <a:extLst>
            <a:ext uri="{FF2B5EF4-FFF2-40B4-BE49-F238E27FC236}">
              <a16:creationId xmlns:a16="http://schemas.microsoft.com/office/drawing/2014/main" id="{0E382E71-4F65-422B-9D85-EF4E87E9EA09}"/>
            </a:ext>
          </a:extLst>
        </xdr:cNvPr>
        <xdr:cNvSpPr/>
      </xdr:nvSpPr>
      <xdr:spPr>
        <a:xfrm>
          <a:off x="276225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45</xdr:col>
      <xdr:colOff>38100</xdr:colOff>
      <xdr:row>12</xdr:row>
      <xdr:rowOff>47625</xdr:rowOff>
    </xdr:from>
    <xdr:to>
      <xdr:col>45</xdr:col>
      <xdr:colOff>104775</xdr:colOff>
      <xdr:row>12</xdr:row>
      <xdr:rowOff>142875</xdr:rowOff>
    </xdr:to>
    <xdr:sp macro="" textlink="">
      <xdr:nvSpPr>
        <xdr:cNvPr id="402" name="Diagrama de flujo: conector 401">
          <a:extLst>
            <a:ext uri="{FF2B5EF4-FFF2-40B4-BE49-F238E27FC236}">
              <a16:creationId xmlns:a16="http://schemas.microsoft.com/office/drawing/2014/main" id="{67328C8F-37C0-4A43-9182-55C27A8BF7A7}"/>
            </a:ext>
          </a:extLst>
        </xdr:cNvPr>
        <xdr:cNvSpPr/>
      </xdr:nvSpPr>
      <xdr:spPr>
        <a:xfrm>
          <a:off x="27622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46</xdr:col>
      <xdr:colOff>38100</xdr:colOff>
      <xdr:row>2</xdr:row>
      <xdr:rowOff>57150</xdr:rowOff>
    </xdr:from>
    <xdr:to>
      <xdr:col>46</xdr:col>
      <xdr:colOff>104775</xdr:colOff>
      <xdr:row>2</xdr:row>
      <xdr:rowOff>152400</xdr:rowOff>
    </xdr:to>
    <xdr:sp macro="" textlink="">
      <xdr:nvSpPr>
        <xdr:cNvPr id="403" name="Diagrama de flujo: conector 402">
          <a:extLst>
            <a:ext uri="{FF2B5EF4-FFF2-40B4-BE49-F238E27FC236}">
              <a16:creationId xmlns:a16="http://schemas.microsoft.com/office/drawing/2014/main" id="{27BABDD5-E0C4-4C0A-93BD-7544AF0748F0}"/>
            </a:ext>
          </a:extLst>
        </xdr:cNvPr>
        <xdr:cNvSpPr/>
      </xdr:nvSpPr>
      <xdr:spPr>
        <a:xfrm>
          <a:off x="28956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46</xdr:col>
      <xdr:colOff>38100</xdr:colOff>
      <xdr:row>3</xdr:row>
      <xdr:rowOff>57150</xdr:rowOff>
    </xdr:from>
    <xdr:to>
      <xdr:col>46</xdr:col>
      <xdr:colOff>104775</xdr:colOff>
      <xdr:row>3</xdr:row>
      <xdr:rowOff>152400</xdr:rowOff>
    </xdr:to>
    <xdr:sp macro="" textlink="">
      <xdr:nvSpPr>
        <xdr:cNvPr id="404" name="Diagrama de flujo: conector 403">
          <a:extLst>
            <a:ext uri="{FF2B5EF4-FFF2-40B4-BE49-F238E27FC236}">
              <a16:creationId xmlns:a16="http://schemas.microsoft.com/office/drawing/2014/main" id="{CF21B8D0-3234-47E8-B43D-1B8722B17E9D}"/>
            </a:ext>
          </a:extLst>
        </xdr:cNvPr>
        <xdr:cNvSpPr/>
      </xdr:nvSpPr>
      <xdr:spPr>
        <a:xfrm>
          <a:off x="28956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46</xdr:col>
      <xdr:colOff>38100</xdr:colOff>
      <xdr:row>4</xdr:row>
      <xdr:rowOff>57150</xdr:rowOff>
    </xdr:from>
    <xdr:to>
      <xdr:col>46</xdr:col>
      <xdr:colOff>104775</xdr:colOff>
      <xdr:row>4</xdr:row>
      <xdr:rowOff>152400</xdr:rowOff>
    </xdr:to>
    <xdr:sp macro="" textlink="">
      <xdr:nvSpPr>
        <xdr:cNvPr id="405" name="Diagrama de flujo: conector 404">
          <a:extLst>
            <a:ext uri="{FF2B5EF4-FFF2-40B4-BE49-F238E27FC236}">
              <a16:creationId xmlns:a16="http://schemas.microsoft.com/office/drawing/2014/main" id="{1D4B0986-815F-4F08-8948-7E8EAF6C2F75}"/>
            </a:ext>
          </a:extLst>
        </xdr:cNvPr>
        <xdr:cNvSpPr/>
      </xdr:nvSpPr>
      <xdr:spPr>
        <a:xfrm>
          <a:off x="28956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46</xdr:col>
      <xdr:colOff>38100</xdr:colOff>
      <xdr:row>5</xdr:row>
      <xdr:rowOff>57150</xdr:rowOff>
    </xdr:from>
    <xdr:to>
      <xdr:col>46</xdr:col>
      <xdr:colOff>104775</xdr:colOff>
      <xdr:row>5</xdr:row>
      <xdr:rowOff>152400</xdr:rowOff>
    </xdr:to>
    <xdr:sp macro="" textlink="">
      <xdr:nvSpPr>
        <xdr:cNvPr id="406" name="Diagrama de flujo: conector 405">
          <a:extLst>
            <a:ext uri="{FF2B5EF4-FFF2-40B4-BE49-F238E27FC236}">
              <a16:creationId xmlns:a16="http://schemas.microsoft.com/office/drawing/2014/main" id="{64B961C6-EC97-441D-A328-3BF0F05EDADD}"/>
            </a:ext>
          </a:extLst>
        </xdr:cNvPr>
        <xdr:cNvSpPr/>
      </xdr:nvSpPr>
      <xdr:spPr>
        <a:xfrm>
          <a:off x="28956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46</xdr:col>
      <xdr:colOff>38100</xdr:colOff>
      <xdr:row>6</xdr:row>
      <xdr:rowOff>47625</xdr:rowOff>
    </xdr:from>
    <xdr:to>
      <xdr:col>46</xdr:col>
      <xdr:colOff>104775</xdr:colOff>
      <xdr:row>6</xdr:row>
      <xdr:rowOff>142875</xdr:rowOff>
    </xdr:to>
    <xdr:sp macro="" textlink="">
      <xdr:nvSpPr>
        <xdr:cNvPr id="407" name="Diagrama de flujo: conector 406">
          <a:extLst>
            <a:ext uri="{FF2B5EF4-FFF2-40B4-BE49-F238E27FC236}">
              <a16:creationId xmlns:a16="http://schemas.microsoft.com/office/drawing/2014/main" id="{F402CD3D-6FBC-443B-8A42-1A6468D713FF}"/>
            </a:ext>
          </a:extLst>
        </xdr:cNvPr>
        <xdr:cNvSpPr/>
      </xdr:nvSpPr>
      <xdr:spPr>
        <a:xfrm>
          <a:off x="289560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46</xdr:col>
      <xdr:colOff>38100</xdr:colOff>
      <xdr:row>7</xdr:row>
      <xdr:rowOff>47625</xdr:rowOff>
    </xdr:from>
    <xdr:to>
      <xdr:col>46</xdr:col>
      <xdr:colOff>104775</xdr:colOff>
      <xdr:row>7</xdr:row>
      <xdr:rowOff>142875</xdr:rowOff>
    </xdr:to>
    <xdr:sp macro="" textlink="">
      <xdr:nvSpPr>
        <xdr:cNvPr id="408" name="Diagrama de flujo: conector 407">
          <a:extLst>
            <a:ext uri="{FF2B5EF4-FFF2-40B4-BE49-F238E27FC236}">
              <a16:creationId xmlns:a16="http://schemas.microsoft.com/office/drawing/2014/main" id="{776F6D0E-8616-42F7-A195-50334B5AA5B9}"/>
            </a:ext>
          </a:extLst>
        </xdr:cNvPr>
        <xdr:cNvSpPr/>
      </xdr:nvSpPr>
      <xdr:spPr>
        <a:xfrm>
          <a:off x="28956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46</xdr:col>
      <xdr:colOff>38100</xdr:colOff>
      <xdr:row>8</xdr:row>
      <xdr:rowOff>57150</xdr:rowOff>
    </xdr:from>
    <xdr:to>
      <xdr:col>46</xdr:col>
      <xdr:colOff>104775</xdr:colOff>
      <xdr:row>8</xdr:row>
      <xdr:rowOff>152400</xdr:rowOff>
    </xdr:to>
    <xdr:sp macro="" textlink="">
      <xdr:nvSpPr>
        <xdr:cNvPr id="409" name="Diagrama de flujo: conector 408">
          <a:extLst>
            <a:ext uri="{FF2B5EF4-FFF2-40B4-BE49-F238E27FC236}">
              <a16:creationId xmlns:a16="http://schemas.microsoft.com/office/drawing/2014/main" id="{E5B9AB2E-1627-4894-A8C9-4094EF41F654}"/>
            </a:ext>
          </a:extLst>
        </xdr:cNvPr>
        <xdr:cNvSpPr/>
      </xdr:nvSpPr>
      <xdr:spPr>
        <a:xfrm>
          <a:off x="28956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46</xdr:col>
      <xdr:colOff>38100</xdr:colOff>
      <xdr:row>9</xdr:row>
      <xdr:rowOff>57150</xdr:rowOff>
    </xdr:from>
    <xdr:to>
      <xdr:col>46</xdr:col>
      <xdr:colOff>104775</xdr:colOff>
      <xdr:row>9</xdr:row>
      <xdr:rowOff>152400</xdr:rowOff>
    </xdr:to>
    <xdr:sp macro="" textlink="">
      <xdr:nvSpPr>
        <xdr:cNvPr id="410" name="Diagrama de flujo: conector 409">
          <a:extLst>
            <a:ext uri="{FF2B5EF4-FFF2-40B4-BE49-F238E27FC236}">
              <a16:creationId xmlns:a16="http://schemas.microsoft.com/office/drawing/2014/main" id="{E118F068-4CD5-45DA-B518-4FAA4A7CFDAC}"/>
            </a:ext>
          </a:extLst>
        </xdr:cNvPr>
        <xdr:cNvSpPr/>
      </xdr:nvSpPr>
      <xdr:spPr>
        <a:xfrm>
          <a:off x="28956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46</xdr:col>
      <xdr:colOff>38100</xdr:colOff>
      <xdr:row>10</xdr:row>
      <xdr:rowOff>47625</xdr:rowOff>
    </xdr:from>
    <xdr:to>
      <xdr:col>46</xdr:col>
      <xdr:colOff>104775</xdr:colOff>
      <xdr:row>10</xdr:row>
      <xdr:rowOff>142875</xdr:rowOff>
    </xdr:to>
    <xdr:sp macro="" textlink="">
      <xdr:nvSpPr>
        <xdr:cNvPr id="411" name="Diagrama de flujo: conector 410">
          <a:extLst>
            <a:ext uri="{FF2B5EF4-FFF2-40B4-BE49-F238E27FC236}">
              <a16:creationId xmlns:a16="http://schemas.microsoft.com/office/drawing/2014/main" id="{BB6F99FB-FE21-46DC-82FE-4EA1C4C49BF5}"/>
            </a:ext>
          </a:extLst>
        </xdr:cNvPr>
        <xdr:cNvSpPr/>
      </xdr:nvSpPr>
      <xdr:spPr>
        <a:xfrm>
          <a:off x="289560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46</xdr:col>
      <xdr:colOff>38100</xdr:colOff>
      <xdr:row>12</xdr:row>
      <xdr:rowOff>47625</xdr:rowOff>
    </xdr:from>
    <xdr:to>
      <xdr:col>46</xdr:col>
      <xdr:colOff>104775</xdr:colOff>
      <xdr:row>12</xdr:row>
      <xdr:rowOff>142875</xdr:rowOff>
    </xdr:to>
    <xdr:sp macro="" textlink="">
      <xdr:nvSpPr>
        <xdr:cNvPr id="412" name="Diagrama de flujo: conector 411">
          <a:extLst>
            <a:ext uri="{FF2B5EF4-FFF2-40B4-BE49-F238E27FC236}">
              <a16:creationId xmlns:a16="http://schemas.microsoft.com/office/drawing/2014/main" id="{88FFD44E-8D38-4F3D-B872-41F50A424F89}"/>
            </a:ext>
          </a:extLst>
        </xdr:cNvPr>
        <xdr:cNvSpPr/>
      </xdr:nvSpPr>
      <xdr:spPr>
        <a:xfrm>
          <a:off x="28956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39</xdr:col>
      <xdr:colOff>38100</xdr:colOff>
      <xdr:row>2</xdr:row>
      <xdr:rowOff>57150</xdr:rowOff>
    </xdr:from>
    <xdr:to>
      <xdr:col>39</xdr:col>
      <xdr:colOff>104775</xdr:colOff>
      <xdr:row>2</xdr:row>
      <xdr:rowOff>152400</xdr:rowOff>
    </xdr:to>
    <xdr:sp macro="" textlink="">
      <xdr:nvSpPr>
        <xdr:cNvPr id="413" name="Diagrama de flujo: conector 412">
          <a:extLst>
            <a:ext uri="{FF2B5EF4-FFF2-40B4-BE49-F238E27FC236}">
              <a16:creationId xmlns:a16="http://schemas.microsoft.com/office/drawing/2014/main" id="{6F13080C-4B2B-44CE-B0C2-1314EB5B1CEB}"/>
            </a:ext>
          </a:extLst>
        </xdr:cNvPr>
        <xdr:cNvSpPr/>
      </xdr:nvSpPr>
      <xdr:spPr>
        <a:xfrm>
          <a:off x="19621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39</xdr:col>
      <xdr:colOff>38100</xdr:colOff>
      <xdr:row>3</xdr:row>
      <xdr:rowOff>57150</xdr:rowOff>
    </xdr:from>
    <xdr:to>
      <xdr:col>39</xdr:col>
      <xdr:colOff>104775</xdr:colOff>
      <xdr:row>3</xdr:row>
      <xdr:rowOff>152400</xdr:rowOff>
    </xdr:to>
    <xdr:sp macro="" textlink="">
      <xdr:nvSpPr>
        <xdr:cNvPr id="414" name="Diagrama de flujo: conector 413">
          <a:extLst>
            <a:ext uri="{FF2B5EF4-FFF2-40B4-BE49-F238E27FC236}">
              <a16:creationId xmlns:a16="http://schemas.microsoft.com/office/drawing/2014/main" id="{6B62D765-4F3D-4E19-AF22-23A625E7344B}"/>
            </a:ext>
          </a:extLst>
        </xdr:cNvPr>
        <xdr:cNvSpPr/>
      </xdr:nvSpPr>
      <xdr:spPr>
        <a:xfrm>
          <a:off x="19621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39</xdr:col>
      <xdr:colOff>38100</xdr:colOff>
      <xdr:row>4</xdr:row>
      <xdr:rowOff>57150</xdr:rowOff>
    </xdr:from>
    <xdr:to>
      <xdr:col>39</xdr:col>
      <xdr:colOff>104775</xdr:colOff>
      <xdr:row>4</xdr:row>
      <xdr:rowOff>152400</xdr:rowOff>
    </xdr:to>
    <xdr:sp macro="" textlink="">
      <xdr:nvSpPr>
        <xdr:cNvPr id="415" name="Diagrama de flujo: conector 414">
          <a:extLst>
            <a:ext uri="{FF2B5EF4-FFF2-40B4-BE49-F238E27FC236}">
              <a16:creationId xmlns:a16="http://schemas.microsoft.com/office/drawing/2014/main" id="{3AF37425-0FC7-4F02-975F-A66F5903DB51}"/>
            </a:ext>
          </a:extLst>
        </xdr:cNvPr>
        <xdr:cNvSpPr/>
      </xdr:nvSpPr>
      <xdr:spPr>
        <a:xfrm>
          <a:off x="19621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39</xdr:col>
      <xdr:colOff>38100</xdr:colOff>
      <xdr:row>5</xdr:row>
      <xdr:rowOff>57150</xdr:rowOff>
    </xdr:from>
    <xdr:to>
      <xdr:col>39</xdr:col>
      <xdr:colOff>104775</xdr:colOff>
      <xdr:row>5</xdr:row>
      <xdr:rowOff>152400</xdr:rowOff>
    </xdr:to>
    <xdr:sp macro="" textlink="">
      <xdr:nvSpPr>
        <xdr:cNvPr id="416" name="Diagrama de flujo: conector 415">
          <a:extLst>
            <a:ext uri="{FF2B5EF4-FFF2-40B4-BE49-F238E27FC236}">
              <a16:creationId xmlns:a16="http://schemas.microsoft.com/office/drawing/2014/main" id="{3AB63086-A407-4614-B4CF-5767CF7EB453}"/>
            </a:ext>
          </a:extLst>
        </xdr:cNvPr>
        <xdr:cNvSpPr/>
      </xdr:nvSpPr>
      <xdr:spPr>
        <a:xfrm>
          <a:off x="19621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39</xdr:col>
      <xdr:colOff>38100</xdr:colOff>
      <xdr:row>6</xdr:row>
      <xdr:rowOff>47625</xdr:rowOff>
    </xdr:from>
    <xdr:to>
      <xdr:col>39</xdr:col>
      <xdr:colOff>104775</xdr:colOff>
      <xdr:row>6</xdr:row>
      <xdr:rowOff>142875</xdr:rowOff>
    </xdr:to>
    <xdr:sp macro="" textlink="">
      <xdr:nvSpPr>
        <xdr:cNvPr id="417" name="Diagrama de flujo: conector 416">
          <a:extLst>
            <a:ext uri="{FF2B5EF4-FFF2-40B4-BE49-F238E27FC236}">
              <a16:creationId xmlns:a16="http://schemas.microsoft.com/office/drawing/2014/main" id="{6F0FFAF4-ECB4-410A-A6E6-1F4CCA39E56A}"/>
            </a:ext>
          </a:extLst>
        </xdr:cNvPr>
        <xdr:cNvSpPr/>
      </xdr:nvSpPr>
      <xdr:spPr>
        <a:xfrm>
          <a:off x="196215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39</xdr:col>
      <xdr:colOff>38100</xdr:colOff>
      <xdr:row>7</xdr:row>
      <xdr:rowOff>47625</xdr:rowOff>
    </xdr:from>
    <xdr:to>
      <xdr:col>39</xdr:col>
      <xdr:colOff>104775</xdr:colOff>
      <xdr:row>7</xdr:row>
      <xdr:rowOff>142875</xdr:rowOff>
    </xdr:to>
    <xdr:sp macro="" textlink="">
      <xdr:nvSpPr>
        <xdr:cNvPr id="418" name="Diagrama de flujo: conector 417">
          <a:extLst>
            <a:ext uri="{FF2B5EF4-FFF2-40B4-BE49-F238E27FC236}">
              <a16:creationId xmlns:a16="http://schemas.microsoft.com/office/drawing/2014/main" id="{85AE3FD8-F28F-4CA7-AA13-0F92122DC8B7}"/>
            </a:ext>
          </a:extLst>
        </xdr:cNvPr>
        <xdr:cNvSpPr/>
      </xdr:nvSpPr>
      <xdr:spPr>
        <a:xfrm>
          <a:off x="19621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39</xdr:col>
      <xdr:colOff>38100</xdr:colOff>
      <xdr:row>8</xdr:row>
      <xdr:rowOff>57150</xdr:rowOff>
    </xdr:from>
    <xdr:to>
      <xdr:col>39</xdr:col>
      <xdr:colOff>104775</xdr:colOff>
      <xdr:row>8</xdr:row>
      <xdr:rowOff>152400</xdr:rowOff>
    </xdr:to>
    <xdr:sp macro="" textlink="">
      <xdr:nvSpPr>
        <xdr:cNvPr id="419" name="Diagrama de flujo: conector 418">
          <a:extLst>
            <a:ext uri="{FF2B5EF4-FFF2-40B4-BE49-F238E27FC236}">
              <a16:creationId xmlns:a16="http://schemas.microsoft.com/office/drawing/2014/main" id="{BA4C930F-AAB1-4AEB-973B-E89F36A41A34}"/>
            </a:ext>
          </a:extLst>
        </xdr:cNvPr>
        <xdr:cNvSpPr/>
      </xdr:nvSpPr>
      <xdr:spPr>
        <a:xfrm>
          <a:off x="19621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39</xdr:col>
      <xdr:colOff>38100</xdr:colOff>
      <xdr:row>9</xdr:row>
      <xdr:rowOff>57150</xdr:rowOff>
    </xdr:from>
    <xdr:to>
      <xdr:col>39</xdr:col>
      <xdr:colOff>104775</xdr:colOff>
      <xdr:row>9</xdr:row>
      <xdr:rowOff>152400</xdr:rowOff>
    </xdr:to>
    <xdr:sp macro="" textlink="">
      <xdr:nvSpPr>
        <xdr:cNvPr id="420" name="Diagrama de flujo: conector 419">
          <a:extLst>
            <a:ext uri="{FF2B5EF4-FFF2-40B4-BE49-F238E27FC236}">
              <a16:creationId xmlns:a16="http://schemas.microsoft.com/office/drawing/2014/main" id="{AFA61F23-A223-4F8B-A58B-AAE6597F581A}"/>
            </a:ext>
          </a:extLst>
        </xdr:cNvPr>
        <xdr:cNvSpPr/>
      </xdr:nvSpPr>
      <xdr:spPr>
        <a:xfrm>
          <a:off x="19621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39</xdr:col>
      <xdr:colOff>38100</xdr:colOff>
      <xdr:row>10</xdr:row>
      <xdr:rowOff>47625</xdr:rowOff>
    </xdr:from>
    <xdr:to>
      <xdr:col>39</xdr:col>
      <xdr:colOff>104775</xdr:colOff>
      <xdr:row>10</xdr:row>
      <xdr:rowOff>142875</xdr:rowOff>
    </xdr:to>
    <xdr:sp macro="" textlink="">
      <xdr:nvSpPr>
        <xdr:cNvPr id="421" name="Diagrama de flujo: conector 420">
          <a:extLst>
            <a:ext uri="{FF2B5EF4-FFF2-40B4-BE49-F238E27FC236}">
              <a16:creationId xmlns:a16="http://schemas.microsoft.com/office/drawing/2014/main" id="{95888DBF-E2FD-43CD-A92E-B6A183625BC6}"/>
            </a:ext>
          </a:extLst>
        </xdr:cNvPr>
        <xdr:cNvSpPr/>
      </xdr:nvSpPr>
      <xdr:spPr>
        <a:xfrm>
          <a:off x="196215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39</xdr:col>
      <xdr:colOff>38100</xdr:colOff>
      <xdr:row>12</xdr:row>
      <xdr:rowOff>47625</xdr:rowOff>
    </xdr:from>
    <xdr:to>
      <xdr:col>39</xdr:col>
      <xdr:colOff>104775</xdr:colOff>
      <xdr:row>12</xdr:row>
      <xdr:rowOff>142875</xdr:rowOff>
    </xdr:to>
    <xdr:sp macro="" textlink="">
      <xdr:nvSpPr>
        <xdr:cNvPr id="422" name="Diagrama de flujo: conector 421">
          <a:extLst>
            <a:ext uri="{FF2B5EF4-FFF2-40B4-BE49-F238E27FC236}">
              <a16:creationId xmlns:a16="http://schemas.microsoft.com/office/drawing/2014/main" id="{E1934B6F-0E98-44D2-94B8-23A4800879F6}"/>
            </a:ext>
          </a:extLst>
        </xdr:cNvPr>
        <xdr:cNvSpPr/>
      </xdr:nvSpPr>
      <xdr:spPr>
        <a:xfrm>
          <a:off x="19621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52</xdr:col>
      <xdr:colOff>38100</xdr:colOff>
      <xdr:row>2</xdr:row>
      <xdr:rowOff>57150</xdr:rowOff>
    </xdr:from>
    <xdr:to>
      <xdr:col>52</xdr:col>
      <xdr:colOff>104775</xdr:colOff>
      <xdr:row>2</xdr:row>
      <xdr:rowOff>152400</xdr:rowOff>
    </xdr:to>
    <xdr:sp macro="" textlink="">
      <xdr:nvSpPr>
        <xdr:cNvPr id="423" name="Diagrama de flujo: conector 422">
          <a:extLst>
            <a:ext uri="{FF2B5EF4-FFF2-40B4-BE49-F238E27FC236}">
              <a16:creationId xmlns:a16="http://schemas.microsoft.com/office/drawing/2014/main" id="{ED845F16-C4B2-4677-BF7A-2E26CF78E09F}"/>
            </a:ext>
          </a:extLst>
        </xdr:cNvPr>
        <xdr:cNvSpPr/>
      </xdr:nvSpPr>
      <xdr:spPr>
        <a:xfrm>
          <a:off x="20955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52</xdr:col>
      <xdr:colOff>38100</xdr:colOff>
      <xdr:row>3</xdr:row>
      <xdr:rowOff>57150</xdr:rowOff>
    </xdr:from>
    <xdr:to>
      <xdr:col>52</xdr:col>
      <xdr:colOff>104775</xdr:colOff>
      <xdr:row>3</xdr:row>
      <xdr:rowOff>152400</xdr:rowOff>
    </xdr:to>
    <xdr:sp macro="" textlink="">
      <xdr:nvSpPr>
        <xdr:cNvPr id="424" name="Diagrama de flujo: conector 423">
          <a:extLst>
            <a:ext uri="{FF2B5EF4-FFF2-40B4-BE49-F238E27FC236}">
              <a16:creationId xmlns:a16="http://schemas.microsoft.com/office/drawing/2014/main" id="{FA8B3C2E-043B-405A-95FD-F3E983B66D0D}"/>
            </a:ext>
          </a:extLst>
        </xdr:cNvPr>
        <xdr:cNvSpPr/>
      </xdr:nvSpPr>
      <xdr:spPr>
        <a:xfrm>
          <a:off x="20955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52</xdr:col>
      <xdr:colOff>38100</xdr:colOff>
      <xdr:row>4</xdr:row>
      <xdr:rowOff>57150</xdr:rowOff>
    </xdr:from>
    <xdr:to>
      <xdr:col>52</xdr:col>
      <xdr:colOff>104775</xdr:colOff>
      <xdr:row>4</xdr:row>
      <xdr:rowOff>152400</xdr:rowOff>
    </xdr:to>
    <xdr:sp macro="" textlink="">
      <xdr:nvSpPr>
        <xdr:cNvPr id="425" name="Diagrama de flujo: conector 424">
          <a:extLst>
            <a:ext uri="{FF2B5EF4-FFF2-40B4-BE49-F238E27FC236}">
              <a16:creationId xmlns:a16="http://schemas.microsoft.com/office/drawing/2014/main" id="{BDF58D71-E9E7-41A4-995D-2F0A04862E60}"/>
            </a:ext>
          </a:extLst>
        </xdr:cNvPr>
        <xdr:cNvSpPr/>
      </xdr:nvSpPr>
      <xdr:spPr>
        <a:xfrm>
          <a:off x="20955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52</xdr:col>
      <xdr:colOff>38100</xdr:colOff>
      <xdr:row>5</xdr:row>
      <xdr:rowOff>57150</xdr:rowOff>
    </xdr:from>
    <xdr:to>
      <xdr:col>52</xdr:col>
      <xdr:colOff>104775</xdr:colOff>
      <xdr:row>5</xdr:row>
      <xdr:rowOff>152400</xdr:rowOff>
    </xdr:to>
    <xdr:sp macro="" textlink="">
      <xdr:nvSpPr>
        <xdr:cNvPr id="426" name="Diagrama de flujo: conector 425">
          <a:extLst>
            <a:ext uri="{FF2B5EF4-FFF2-40B4-BE49-F238E27FC236}">
              <a16:creationId xmlns:a16="http://schemas.microsoft.com/office/drawing/2014/main" id="{E5F7B7CF-90C3-4474-AED1-B3E834559E42}"/>
            </a:ext>
          </a:extLst>
        </xdr:cNvPr>
        <xdr:cNvSpPr/>
      </xdr:nvSpPr>
      <xdr:spPr>
        <a:xfrm>
          <a:off x="20955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52</xdr:col>
      <xdr:colOff>38100</xdr:colOff>
      <xdr:row>6</xdr:row>
      <xdr:rowOff>47625</xdr:rowOff>
    </xdr:from>
    <xdr:to>
      <xdr:col>52</xdr:col>
      <xdr:colOff>104775</xdr:colOff>
      <xdr:row>6</xdr:row>
      <xdr:rowOff>142875</xdr:rowOff>
    </xdr:to>
    <xdr:sp macro="" textlink="">
      <xdr:nvSpPr>
        <xdr:cNvPr id="427" name="Diagrama de flujo: conector 426">
          <a:extLst>
            <a:ext uri="{FF2B5EF4-FFF2-40B4-BE49-F238E27FC236}">
              <a16:creationId xmlns:a16="http://schemas.microsoft.com/office/drawing/2014/main" id="{103066B6-90F9-41FA-84CA-473E93982543}"/>
            </a:ext>
          </a:extLst>
        </xdr:cNvPr>
        <xdr:cNvSpPr/>
      </xdr:nvSpPr>
      <xdr:spPr>
        <a:xfrm>
          <a:off x="209550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52</xdr:col>
      <xdr:colOff>38100</xdr:colOff>
      <xdr:row>7</xdr:row>
      <xdr:rowOff>47625</xdr:rowOff>
    </xdr:from>
    <xdr:to>
      <xdr:col>52</xdr:col>
      <xdr:colOff>104775</xdr:colOff>
      <xdr:row>7</xdr:row>
      <xdr:rowOff>142875</xdr:rowOff>
    </xdr:to>
    <xdr:sp macro="" textlink="">
      <xdr:nvSpPr>
        <xdr:cNvPr id="428" name="Diagrama de flujo: conector 427">
          <a:extLst>
            <a:ext uri="{FF2B5EF4-FFF2-40B4-BE49-F238E27FC236}">
              <a16:creationId xmlns:a16="http://schemas.microsoft.com/office/drawing/2014/main" id="{A03ED1F9-F3A3-4DB6-81D7-295DD4642179}"/>
            </a:ext>
          </a:extLst>
        </xdr:cNvPr>
        <xdr:cNvSpPr/>
      </xdr:nvSpPr>
      <xdr:spPr>
        <a:xfrm>
          <a:off x="20955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52</xdr:col>
      <xdr:colOff>38100</xdr:colOff>
      <xdr:row>8</xdr:row>
      <xdr:rowOff>57150</xdr:rowOff>
    </xdr:from>
    <xdr:to>
      <xdr:col>52</xdr:col>
      <xdr:colOff>104775</xdr:colOff>
      <xdr:row>8</xdr:row>
      <xdr:rowOff>152400</xdr:rowOff>
    </xdr:to>
    <xdr:sp macro="" textlink="">
      <xdr:nvSpPr>
        <xdr:cNvPr id="429" name="Diagrama de flujo: conector 428">
          <a:extLst>
            <a:ext uri="{FF2B5EF4-FFF2-40B4-BE49-F238E27FC236}">
              <a16:creationId xmlns:a16="http://schemas.microsoft.com/office/drawing/2014/main" id="{F26EBDA0-7B39-4253-AE24-29F7DDA09807}"/>
            </a:ext>
          </a:extLst>
        </xdr:cNvPr>
        <xdr:cNvSpPr/>
      </xdr:nvSpPr>
      <xdr:spPr>
        <a:xfrm>
          <a:off x="20955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52</xdr:col>
      <xdr:colOff>38100</xdr:colOff>
      <xdr:row>9</xdr:row>
      <xdr:rowOff>57150</xdr:rowOff>
    </xdr:from>
    <xdr:to>
      <xdr:col>52</xdr:col>
      <xdr:colOff>104775</xdr:colOff>
      <xdr:row>9</xdr:row>
      <xdr:rowOff>152400</xdr:rowOff>
    </xdr:to>
    <xdr:sp macro="" textlink="">
      <xdr:nvSpPr>
        <xdr:cNvPr id="430" name="Diagrama de flujo: conector 429">
          <a:extLst>
            <a:ext uri="{FF2B5EF4-FFF2-40B4-BE49-F238E27FC236}">
              <a16:creationId xmlns:a16="http://schemas.microsoft.com/office/drawing/2014/main" id="{F5CA04C3-B8C2-40BF-8A2D-371B9BCFD2BF}"/>
            </a:ext>
          </a:extLst>
        </xdr:cNvPr>
        <xdr:cNvSpPr/>
      </xdr:nvSpPr>
      <xdr:spPr>
        <a:xfrm>
          <a:off x="20955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52</xdr:col>
      <xdr:colOff>38100</xdr:colOff>
      <xdr:row>10</xdr:row>
      <xdr:rowOff>47625</xdr:rowOff>
    </xdr:from>
    <xdr:to>
      <xdr:col>52</xdr:col>
      <xdr:colOff>104775</xdr:colOff>
      <xdr:row>10</xdr:row>
      <xdr:rowOff>142875</xdr:rowOff>
    </xdr:to>
    <xdr:sp macro="" textlink="">
      <xdr:nvSpPr>
        <xdr:cNvPr id="431" name="Diagrama de flujo: conector 430">
          <a:extLst>
            <a:ext uri="{FF2B5EF4-FFF2-40B4-BE49-F238E27FC236}">
              <a16:creationId xmlns:a16="http://schemas.microsoft.com/office/drawing/2014/main" id="{0F09CC84-9D6A-4CF7-A0A9-F56902996872}"/>
            </a:ext>
          </a:extLst>
        </xdr:cNvPr>
        <xdr:cNvSpPr/>
      </xdr:nvSpPr>
      <xdr:spPr>
        <a:xfrm>
          <a:off x="209550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52</xdr:col>
      <xdr:colOff>38100</xdr:colOff>
      <xdr:row>12</xdr:row>
      <xdr:rowOff>47625</xdr:rowOff>
    </xdr:from>
    <xdr:to>
      <xdr:col>52</xdr:col>
      <xdr:colOff>104775</xdr:colOff>
      <xdr:row>12</xdr:row>
      <xdr:rowOff>142875</xdr:rowOff>
    </xdr:to>
    <xdr:sp macro="" textlink="">
      <xdr:nvSpPr>
        <xdr:cNvPr id="432" name="Diagrama de flujo: conector 431">
          <a:extLst>
            <a:ext uri="{FF2B5EF4-FFF2-40B4-BE49-F238E27FC236}">
              <a16:creationId xmlns:a16="http://schemas.microsoft.com/office/drawing/2014/main" id="{4F3E75AE-FE46-4752-B848-524589CE4E8C}"/>
            </a:ext>
          </a:extLst>
        </xdr:cNvPr>
        <xdr:cNvSpPr/>
      </xdr:nvSpPr>
      <xdr:spPr>
        <a:xfrm>
          <a:off x="20955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53</xdr:col>
      <xdr:colOff>38100</xdr:colOff>
      <xdr:row>2</xdr:row>
      <xdr:rowOff>57150</xdr:rowOff>
    </xdr:from>
    <xdr:to>
      <xdr:col>53</xdr:col>
      <xdr:colOff>104775</xdr:colOff>
      <xdr:row>2</xdr:row>
      <xdr:rowOff>152400</xdr:rowOff>
    </xdr:to>
    <xdr:sp macro="" textlink="">
      <xdr:nvSpPr>
        <xdr:cNvPr id="433" name="Diagrama de flujo: conector 432">
          <a:extLst>
            <a:ext uri="{FF2B5EF4-FFF2-40B4-BE49-F238E27FC236}">
              <a16:creationId xmlns:a16="http://schemas.microsoft.com/office/drawing/2014/main" id="{C20E0A4A-F4C6-4228-9B96-C676ACA60DD7}"/>
            </a:ext>
          </a:extLst>
        </xdr:cNvPr>
        <xdr:cNvSpPr/>
      </xdr:nvSpPr>
      <xdr:spPr>
        <a:xfrm>
          <a:off x="22288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53</xdr:col>
      <xdr:colOff>38100</xdr:colOff>
      <xdr:row>3</xdr:row>
      <xdr:rowOff>57150</xdr:rowOff>
    </xdr:from>
    <xdr:to>
      <xdr:col>53</xdr:col>
      <xdr:colOff>104775</xdr:colOff>
      <xdr:row>3</xdr:row>
      <xdr:rowOff>152400</xdr:rowOff>
    </xdr:to>
    <xdr:sp macro="" textlink="">
      <xdr:nvSpPr>
        <xdr:cNvPr id="434" name="Diagrama de flujo: conector 433">
          <a:extLst>
            <a:ext uri="{FF2B5EF4-FFF2-40B4-BE49-F238E27FC236}">
              <a16:creationId xmlns:a16="http://schemas.microsoft.com/office/drawing/2014/main" id="{651786AF-4DB2-46D4-9605-DEC951F6E802}"/>
            </a:ext>
          </a:extLst>
        </xdr:cNvPr>
        <xdr:cNvSpPr/>
      </xdr:nvSpPr>
      <xdr:spPr>
        <a:xfrm>
          <a:off x="22288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53</xdr:col>
      <xdr:colOff>38100</xdr:colOff>
      <xdr:row>4</xdr:row>
      <xdr:rowOff>57150</xdr:rowOff>
    </xdr:from>
    <xdr:to>
      <xdr:col>53</xdr:col>
      <xdr:colOff>104775</xdr:colOff>
      <xdr:row>4</xdr:row>
      <xdr:rowOff>152400</xdr:rowOff>
    </xdr:to>
    <xdr:sp macro="" textlink="">
      <xdr:nvSpPr>
        <xdr:cNvPr id="435" name="Diagrama de flujo: conector 434">
          <a:extLst>
            <a:ext uri="{FF2B5EF4-FFF2-40B4-BE49-F238E27FC236}">
              <a16:creationId xmlns:a16="http://schemas.microsoft.com/office/drawing/2014/main" id="{68DB6C09-B02F-4A31-92E6-12379BD9279F}"/>
            </a:ext>
          </a:extLst>
        </xdr:cNvPr>
        <xdr:cNvSpPr/>
      </xdr:nvSpPr>
      <xdr:spPr>
        <a:xfrm>
          <a:off x="22288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53</xdr:col>
      <xdr:colOff>38100</xdr:colOff>
      <xdr:row>5</xdr:row>
      <xdr:rowOff>57150</xdr:rowOff>
    </xdr:from>
    <xdr:to>
      <xdr:col>53</xdr:col>
      <xdr:colOff>104775</xdr:colOff>
      <xdr:row>5</xdr:row>
      <xdr:rowOff>152400</xdr:rowOff>
    </xdr:to>
    <xdr:sp macro="" textlink="">
      <xdr:nvSpPr>
        <xdr:cNvPr id="436" name="Diagrama de flujo: conector 435">
          <a:extLst>
            <a:ext uri="{FF2B5EF4-FFF2-40B4-BE49-F238E27FC236}">
              <a16:creationId xmlns:a16="http://schemas.microsoft.com/office/drawing/2014/main" id="{3284371B-0E0A-4106-BFD5-302383DFAA96}"/>
            </a:ext>
          </a:extLst>
        </xdr:cNvPr>
        <xdr:cNvSpPr/>
      </xdr:nvSpPr>
      <xdr:spPr>
        <a:xfrm>
          <a:off x="22288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53</xdr:col>
      <xdr:colOff>38100</xdr:colOff>
      <xdr:row>6</xdr:row>
      <xdr:rowOff>47625</xdr:rowOff>
    </xdr:from>
    <xdr:to>
      <xdr:col>53</xdr:col>
      <xdr:colOff>104775</xdr:colOff>
      <xdr:row>6</xdr:row>
      <xdr:rowOff>142875</xdr:rowOff>
    </xdr:to>
    <xdr:sp macro="" textlink="">
      <xdr:nvSpPr>
        <xdr:cNvPr id="437" name="Diagrama de flujo: conector 436">
          <a:extLst>
            <a:ext uri="{FF2B5EF4-FFF2-40B4-BE49-F238E27FC236}">
              <a16:creationId xmlns:a16="http://schemas.microsoft.com/office/drawing/2014/main" id="{49245DB0-DC56-4627-9984-7D2ADDA5EE9B}"/>
            </a:ext>
          </a:extLst>
        </xdr:cNvPr>
        <xdr:cNvSpPr/>
      </xdr:nvSpPr>
      <xdr:spPr>
        <a:xfrm>
          <a:off x="222885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53</xdr:col>
      <xdr:colOff>38100</xdr:colOff>
      <xdr:row>7</xdr:row>
      <xdr:rowOff>47625</xdr:rowOff>
    </xdr:from>
    <xdr:to>
      <xdr:col>53</xdr:col>
      <xdr:colOff>104775</xdr:colOff>
      <xdr:row>7</xdr:row>
      <xdr:rowOff>142875</xdr:rowOff>
    </xdr:to>
    <xdr:sp macro="" textlink="">
      <xdr:nvSpPr>
        <xdr:cNvPr id="438" name="Diagrama de flujo: conector 437">
          <a:extLst>
            <a:ext uri="{FF2B5EF4-FFF2-40B4-BE49-F238E27FC236}">
              <a16:creationId xmlns:a16="http://schemas.microsoft.com/office/drawing/2014/main" id="{F7344A86-1E48-477A-85E5-6532A38F68BB}"/>
            </a:ext>
          </a:extLst>
        </xdr:cNvPr>
        <xdr:cNvSpPr/>
      </xdr:nvSpPr>
      <xdr:spPr>
        <a:xfrm>
          <a:off x="22288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53</xdr:col>
      <xdr:colOff>38100</xdr:colOff>
      <xdr:row>8</xdr:row>
      <xdr:rowOff>57150</xdr:rowOff>
    </xdr:from>
    <xdr:to>
      <xdr:col>53</xdr:col>
      <xdr:colOff>104775</xdr:colOff>
      <xdr:row>8</xdr:row>
      <xdr:rowOff>152400</xdr:rowOff>
    </xdr:to>
    <xdr:sp macro="" textlink="">
      <xdr:nvSpPr>
        <xdr:cNvPr id="439" name="Diagrama de flujo: conector 438">
          <a:extLst>
            <a:ext uri="{FF2B5EF4-FFF2-40B4-BE49-F238E27FC236}">
              <a16:creationId xmlns:a16="http://schemas.microsoft.com/office/drawing/2014/main" id="{AAC3AE27-2A42-4F10-996F-C0C24FFF5AD9}"/>
            </a:ext>
          </a:extLst>
        </xdr:cNvPr>
        <xdr:cNvSpPr/>
      </xdr:nvSpPr>
      <xdr:spPr>
        <a:xfrm>
          <a:off x="22288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53</xdr:col>
      <xdr:colOff>38100</xdr:colOff>
      <xdr:row>9</xdr:row>
      <xdr:rowOff>57150</xdr:rowOff>
    </xdr:from>
    <xdr:to>
      <xdr:col>53</xdr:col>
      <xdr:colOff>104775</xdr:colOff>
      <xdr:row>9</xdr:row>
      <xdr:rowOff>152400</xdr:rowOff>
    </xdr:to>
    <xdr:sp macro="" textlink="">
      <xdr:nvSpPr>
        <xdr:cNvPr id="440" name="Diagrama de flujo: conector 439">
          <a:extLst>
            <a:ext uri="{FF2B5EF4-FFF2-40B4-BE49-F238E27FC236}">
              <a16:creationId xmlns:a16="http://schemas.microsoft.com/office/drawing/2014/main" id="{13AF1540-39FE-4E40-8DA9-72A6B13BB53B}"/>
            </a:ext>
          </a:extLst>
        </xdr:cNvPr>
        <xdr:cNvSpPr/>
      </xdr:nvSpPr>
      <xdr:spPr>
        <a:xfrm>
          <a:off x="22288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53</xdr:col>
      <xdr:colOff>38100</xdr:colOff>
      <xdr:row>10</xdr:row>
      <xdr:rowOff>47625</xdr:rowOff>
    </xdr:from>
    <xdr:to>
      <xdr:col>53</xdr:col>
      <xdr:colOff>104775</xdr:colOff>
      <xdr:row>10</xdr:row>
      <xdr:rowOff>142875</xdr:rowOff>
    </xdr:to>
    <xdr:sp macro="" textlink="">
      <xdr:nvSpPr>
        <xdr:cNvPr id="441" name="Diagrama de flujo: conector 440">
          <a:extLst>
            <a:ext uri="{FF2B5EF4-FFF2-40B4-BE49-F238E27FC236}">
              <a16:creationId xmlns:a16="http://schemas.microsoft.com/office/drawing/2014/main" id="{7CFEE6C1-880F-4BE3-BE82-83039EA3E15E}"/>
            </a:ext>
          </a:extLst>
        </xdr:cNvPr>
        <xdr:cNvSpPr/>
      </xdr:nvSpPr>
      <xdr:spPr>
        <a:xfrm>
          <a:off x="222885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53</xdr:col>
      <xdr:colOff>38100</xdr:colOff>
      <xdr:row>12</xdr:row>
      <xdr:rowOff>47625</xdr:rowOff>
    </xdr:from>
    <xdr:to>
      <xdr:col>53</xdr:col>
      <xdr:colOff>104775</xdr:colOff>
      <xdr:row>12</xdr:row>
      <xdr:rowOff>142875</xdr:rowOff>
    </xdr:to>
    <xdr:sp macro="" textlink="">
      <xdr:nvSpPr>
        <xdr:cNvPr id="442" name="Diagrama de flujo: conector 441">
          <a:extLst>
            <a:ext uri="{FF2B5EF4-FFF2-40B4-BE49-F238E27FC236}">
              <a16:creationId xmlns:a16="http://schemas.microsoft.com/office/drawing/2014/main" id="{98042C34-0088-4F9D-89A1-F82A0F7ABC48}"/>
            </a:ext>
          </a:extLst>
        </xdr:cNvPr>
        <xdr:cNvSpPr/>
      </xdr:nvSpPr>
      <xdr:spPr>
        <a:xfrm>
          <a:off x="22288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54</xdr:col>
      <xdr:colOff>38100</xdr:colOff>
      <xdr:row>2</xdr:row>
      <xdr:rowOff>57150</xdr:rowOff>
    </xdr:from>
    <xdr:to>
      <xdr:col>54</xdr:col>
      <xdr:colOff>104775</xdr:colOff>
      <xdr:row>2</xdr:row>
      <xdr:rowOff>152400</xdr:rowOff>
    </xdr:to>
    <xdr:sp macro="" textlink="">
      <xdr:nvSpPr>
        <xdr:cNvPr id="443" name="Diagrama de flujo: conector 442">
          <a:extLst>
            <a:ext uri="{FF2B5EF4-FFF2-40B4-BE49-F238E27FC236}">
              <a16:creationId xmlns:a16="http://schemas.microsoft.com/office/drawing/2014/main" id="{E6CEE4B8-6084-445D-AAC4-50131D50901B}"/>
            </a:ext>
          </a:extLst>
        </xdr:cNvPr>
        <xdr:cNvSpPr/>
      </xdr:nvSpPr>
      <xdr:spPr>
        <a:xfrm>
          <a:off x="23622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54</xdr:col>
      <xdr:colOff>38100</xdr:colOff>
      <xdr:row>3</xdr:row>
      <xdr:rowOff>57150</xdr:rowOff>
    </xdr:from>
    <xdr:to>
      <xdr:col>54</xdr:col>
      <xdr:colOff>104775</xdr:colOff>
      <xdr:row>3</xdr:row>
      <xdr:rowOff>152400</xdr:rowOff>
    </xdr:to>
    <xdr:sp macro="" textlink="">
      <xdr:nvSpPr>
        <xdr:cNvPr id="444" name="Diagrama de flujo: conector 443">
          <a:extLst>
            <a:ext uri="{FF2B5EF4-FFF2-40B4-BE49-F238E27FC236}">
              <a16:creationId xmlns:a16="http://schemas.microsoft.com/office/drawing/2014/main" id="{357637F2-CE94-4061-8D43-3816F7EC2DCA}"/>
            </a:ext>
          </a:extLst>
        </xdr:cNvPr>
        <xdr:cNvSpPr/>
      </xdr:nvSpPr>
      <xdr:spPr>
        <a:xfrm>
          <a:off x="23622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54</xdr:col>
      <xdr:colOff>38100</xdr:colOff>
      <xdr:row>4</xdr:row>
      <xdr:rowOff>57150</xdr:rowOff>
    </xdr:from>
    <xdr:to>
      <xdr:col>54</xdr:col>
      <xdr:colOff>104775</xdr:colOff>
      <xdr:row>4</xdr:row>
      <xdr:rowOff>152400</xdr:rowOff>
    </xdr:to>
    <xdr:sp macro="" textlink="">
      <xdr:nvSpPr>
        <xdr:cNvPr id="445" name="Diagrama de flujo: conector 444">
          <a:extLst>
            <a:ext uri="{FF2B5EF4-FFF2-40B4-BE49-F238E27FC236}">
              <a16:creationId xmlns:a16="http://schemas.microsoft.com/office/drawing/2014/main" id="{65464943-05C6-47AA-B787-15452A22C9BD}"/>
            </a:ext>
          </a:extLst>
        </xdr:cNvPr>
        <xdr:cNvSpPr/>
      </xdr:nvSpPr>
      <xdr:spPr>
        <a:xfrm>
          <a:off x="23622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54</xdr:col>
      <xdr:colOff>38100</xdr:colOff>
      <xdr:row>5</xdr:row>
      <xdr:rowOff>57150</xdr:rowOff>
    </xdr:from>
    <xdr:to>
      <xdr:col>54</xdr:col>
      <xdr:colOff>104775</xdr:colOff>
      <xdr:row>5</xdr:row>
      <xdr:rowOff>152400</xdr:rowOff>
    </xdr:to>
    <xdr:sp macro="" textlink="">
      <xdr:nvSpPr>
        <xdr:cNvPr id="446" name="Diagrama de flujo: conector 445">
          <a:extLst>
            <a:ext uri="{FF2B5EF4-FFF2-40B4-BE49-F238E27FC236}">
              <a16:creationId xmlns:a16="http://schemas.microsoft.com/office/drawing/2014/main" id="{ABD977EF-15B3-4D5D-810F-E374E07157D7}"/>
            </a:ext>
          </a:extLst>
        </xdr:cNvPr>
        <xdr:cNvSpPr/>
      </xdr:nvSpPr>
      <xdr:spPr>
        <a:xfrm>
          <a:off x="23622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54</xdr:col>
      <xdr:colOff>38100</xdr:colOff>
      <xdr:row>6</xdr:row>
      <xdr:rowOff>47625</xdr:rowOff>
    </xdr:from>
    <xdr:to>
      <xdr:col>54</xdr:col>
      <xdr:colOff>104775</xdr:colOff>
      <xdr:row>6</xdr:row>
      <xdr:rowOff>142875</xdr:rowOff>
    </xdr:to>
    <xdr:sp macro="" textlink="">
      <xdr:nvSpPr>
        <xdr:cNvPr id="447" name="Diagrama de flujo: conector 446">
          <a:extLst>
            <a:ext uri="{FF2B5EF4-FFF2-40B4-BE49-F238E27FC236}">
              <a16:creationId xmlns:a16="http://schemas.microsoft.com/office/drawing/2014/main" id="{0DA1729B-05C7-4B2E-A374-BF92715DAA9F}"/>
            </a:ext>
          </a:extLst>
        </xdr:cNvPr>
        <xdr:cNvSpPr/>
      </xdr:nvSpPr>
      <xdr:spPr>
        <a:xfrm>
          <a:off x="236220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54</xdr:col>
      <xdr:colOff>38100</xdr:colOff>
      <xdr:row>7</xdr:row>
      <xdr:rowOff>47625</xdr:rowOff>
    </xdr:from>
    <xdr:to>
      <xdr:col>54</xdr:col>
      <xdr:colOff>104775</xdr:colOff>
      <xdr:row>7</xdr:row>
      <xdr:rowOff>142875</xdr:rowOff>
    </xdr:to>
    <xdr:sp macro="" textlink="">
      <xdr:nvSpPr>
        <xdr:cNvPr id="448" name="Diagrama de flujo: conector 447">
          <a:extLst>
            <a:ext uri="{FF2B5EF4-FFF2-40B4-BE49-F238E27FC236}">
              <a16:creationId xmlns:a16="http://schemas.microsoft.com/office/drawing/2014/main" id="{BC922D77-E3AF-4154-BD72-6FCB9FAD3F4E}"/>
            </a:ext>
          </a:extLst>
        </xdr:cNvPr>
        <xdr:cNvSpPr/>
      </xdr:nvSpPr>
      <xdr:spPr>
        <a:xfrm>
          <a:off x="23622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54</xdr:col>
      <xdr:colOff>38100</xdr:colOff>
      <xdr:row>8</xdr:row>
      <xdr:rowOff>57150</xdr:rowOff>
    </xdr:from>
    <xdr:to>
      <xdr:col>54</xdr:col>
      <xdr:colOff>104775</xdr:colOff>
      <xdr:row>8</xdr:row>
      <xdr:rowOff>152400</xdr:rowOff>
    </xdr:to>
    <xdr:sp macro="" textlink="">
      <xdr:nvSpPr>
        <xdr:cNvPr id="449" name="Diagrama de flujo: conector 448">
          <a:extLst>
            <a:ext uri="{FF2B5EF4-FFF2-40B4-BE49-F238E27FC236}">
              <a16:creationId xmlns:a16="http://schemas.microsoft.com/office/drawing/2014/main" id="{33403EDE-B3C7-43C7-BA5C-BC9ABD59993B}"/>
            </a:ext>
          </a:extLst>
        </xdr:cNvPr>
        <xdr:cNvSpPr/>
      </xdr:nvSpPr>
      <xdr:spPr>
        <a:xfrm>
          <a:off x="23622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54</xdr:col>
      <xdr:colOff>38100</xdr:colOff>
      <xdr:row>9</xdr:row>
      <xdr:rowOff>57150</xdr:rowOff>
    </xdr:from>
    <xdr:to>
      <xdr:col>54</xdr:col>
      <xdr:colOff>104775</xdr:colOff>
      <xdr:row>9</xdr:row>
      <xdr:rowOff>152400</xdr:rowOff>
    </xdr:to>
    <xdr:sp macro="" textlink="">
      <xdr:nvSpPr>
        <xdr:cNvPr id="450" name="Diagrama de flujo: conector 449">
          <a:extLst>
            <a:ext uri="{FF2B5EF4-FFF2-40B4-BE49-F238E27FC236}">
              <a16:creationId xmlns:a16="http://schemas.microsoft.com/office/drawing/2014/main" id="{E9499C36-1017-43D1-BCBC-71D6ABCA1FE2}"/>
            </a:ext>
          </a:extLst>
        </xdr:cNvPr>
        <xdr:cNvSpPr/>
      </xdr:nvSpPr>
      <xdr:spPr>
        <a:xfrm>
          <a:off x="23622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54</xdr:col>
      <xdr:colOff>38100</xdr:colOff>
      <xdr:row>10</xdr:row>
      <xdr:rowOff>47625</xdr:rowOff>
    </xdr:from>
    <xdr:to>
      <xdr:col>54</xdr:col>
      <xdr:colOff>104775</xdr:colOff>
      <xdr:row>10</xdr:row>
      <xdr:rowOff>142875</xdr:rowOff>
    </xdr:to>
    <xdr:sp macro="" textlink="">
      <xdr:nvSpPr>
        <xdr:cNvPr id="451" name="Diagrama de flujo: conector 450">
          <a:extLst>
            <a:ext uri="{FF2B5EF4-FFF2-40B4-BE49-F238E27FC236}">
              <a16:creationId xmlns:a16="http://schemas.microsoft.com/office/drawing/2014/main" id="{E2817549-1E14-4F27-A8C0-B8C654550C49}"/>
            </a:ext>
          </a:extLst>
        </xdr:cNvPr>
        <xdr:cNvSpPr/>
      </xdr:nvSpPr>
      <xdr:spPr>
        <a:xfrm>
          <a:off x="236220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54</xdr:col>
      <xdr:colOff>38100</xdr:colOff>
      <xdr:row>12</xdr:row>
      <xdr:rowOff>47625</xdr:rowOff>
    </xdr:from>
    <xdr:to>
      <xdr:col>54</xdr:col>
      <xdr:colOff>104775</xdr:colOff>
      <xdr:row>12</xdr:row>
      <xdr:rowOff>142875</xdr:rowOff>
    </xdr:to>
    <xdr:sp macro="" textlink="">
      <xdr:nvSpPr>
        <xdr:cNvPr id="452" name="Diagrama de flujo: conector 451">
          <a:extLst>
            <a:ext uri="{FF2B5EF4-FFF2-40B4-BE49-F238E27FC236}">
              <a16:creationId xmlns:a16="http://schemas.microsoft.com/office/drawing/2014/main" id="{1B73A5E7-59C7-4ECD-A1F3-88EAC2F7BB61}"/>
            </a:ext>
          </a:extLst>
        </xdr:cNvPr>
        <xdr:cNvSpPr/>
      </xdr:nvSpPr>
      <xdr:spPr>
        <a:xfrm>
          <a:off x="23622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55</xdr:col>
      <xdr:colOff>38100</xdr:colOff>
      <xdr:row>2</xdr:row>
      <xdr:rowOff>57150</xdr:rowOff>
    </xdr:from>
    <xdr:to>
      <xdr:col>55</xdr:col>
      <xdr:colOff>104775</xdr:colOff>
      <xdr:row>2</xdr:row>
      <xdr:rowOff>152400</xdr:rowOff>
    </xdr:to>
    <xdr:sp macro="" textlink="">
      <xdr:nvSpPr>
        <xdr:cNvPr id="453" name="Diagrama de flujo: conector 452">
          <a:extLst>
            <a:ext uri="{FF2B5EF4-FFF2-40B4-BE49-F238E27FC236}">
              <a16:creationId xmlns:a16="http://schemas.microsoft.com/office/drawing/2014/main" id="{8C86A42B-8206-4F45-812F-ECE591FC0443}"/>
            </a:ext>
          </a:extLst>
        </xdr:cNvPr>
        <xdr:cNvSpPr/>
      </xdr:nvSpPr>
      <xdr:spPr>
        <a:xfrm>
          <a:off x="24955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55</xdr:col>
      <xdr:colOff>38100</xdr:colOff>
      <xdr:row>3</xdr:row>
      <xdr:rowOff>57150</xdr:rowOff>
    </xdr:from>
    <xdr:to>
      <xdr:col>55</xdr:col>
      <xdr:colOff>104775</xdr:colOff>
      <xdr:row>3</xdr:row>
      <xdr:rowOff>152400</xdr:rowOff>
    </xdr:to>
    <xdr:sp macro="" textlink="">
      <xdr:nvSpPr>
        <xdr:cNvPr id="454" name="Diagrama de flujo: conector 453">
          <a:extLst>
            <a:ext uri="{FF2B5EF4-FFF2-40B4-BE49-F238E27FC236}">
              <a16:creationId xmlns:a16="http://schemas.microsoft.com/office/drawing/2014/main" id="{67C38255-A634-4836-B47A-B1A680FCDA19}"/>
            </a:ext>
          </a:extLst>
        </xdr:cNvPr>
        <xdr:cNvSpPr/>
      </xdr:nvSpPr>
      <xdr:spPr>
        <a:xfrm>
          <a:off x="24955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55</xdr:col>
      <xdr:colOff>38100</xdr:colOff>
      <xdr:row>4</xdr:row>
      <xdr:rowOff>57150</xdr:rowOff>
    </xdr:from>
    <xdr:to>
      <xdr:col>55</xdr:col>
      <xdr:colOff>104775</xdr:colOff>
      <xdr:row>4</xdr:row>
      <xdr:rowOff>152400</xdr:rowOff>
    </xdr:to>
    <xdr:sp macro="" textlink="">
      <xdr:nvSpPr>
        <xdr:cNvPr id="455" name="Diagrama de flujo: conector 454">
          <a:extLst>
            <a:ext uri="{FF2B5EF4-FFF2-40B4-BE49-F238E27FC236}">
              <a16:creationId xmlns:a16="http://schemas.microsoft.com/office/drawing/2014/main" id="{10043EEB-1D53-4951-8FB7-98C52C22F405}"/>
            </a:ext>
          </a:extLst>
        </xdr:cNvPr>
        <xdr:cNvSpPr/>
      </xdr:nvSpPr>
      <xdr:spPr>
        <a:xfrm>
          <a:off x="24955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55</xdr:col>
      <xdr:colOff>38100</xdr:colOff>
      <xdr:row>5</xdr:row>
      <xdr:rowOff>57150</xdr:rowOff>
    </xdr:from>
    <xdr:to>
      <xdr:col>55</xdr:col>
      <xdr:colOff>104775</xdr:colOff>
      <xdr:row>5</xdr:row>
      <xdr:rowOff>152400</xdr:rowOff>
    </xdr:to>
    <xdr:sp macro="" textlink="">
      <xdr:nvSpPr>
        <xdr:cNvPr id="456" name="Diagrama de flujo: conector 455">
          <a:extLst>
            <a:ext uri="{FF2B5EF4-FFF2-40B4-BE49-F238E27FC236}">
              <a16:creationId xmlns:a16="http://schemas.microsoft.com/office/drawing/2014/main" id="{86FE7B8D-852A-4E60-BC82-E63E2771A345}"/>
            </a:ext>
          </a:extLst>
        </xdr:cNvPr>
        <xdr:cNvSpPr/>
      </xdr:nvSpPr>
      <xdr:spPr>
        <a:xfrm>
          <a:off x="24955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55</xdr:col>
      <xdr:colOff>38100</xdr:colOff>
      <xdr:row>6</xdr:row>
      <xdr:rowOff>47625</xdr:rowOff>
    </xdr:from>
    <xdr:to>
      <xdr:col>55</xdr:col>
      <xdr:colOff>104775</xdr:colOff>
      <xdr:row>6</xdr:row>
      <xdr:rowOff>142875</xdr:rowOff>
    </xdr:to>
    <xdr:sp macro="" textlink="">
      <xdr:nvSpPr>
        <xdr:cNvPr id="457" name="Diagrama de flujo: conector 456">
          <a:extLst>
            <a:ext uri="{FF2B5EF4-FFF2-40B4-BE49-F238E27FC236}">
              <a16:creationId xmlns:a16="http://schemas.microsoft.com/office/drawing/2014/main" id="{B5CA355A-0C78-43DC-B9C5-3E31BB7C8865}"/>
            </a:ext>
          </a:extLst>
        </xdr:cNvPr>
        <xdr:cNvSpPr/>
      </xdr:nvSpPr>
      <xdr:spPr>
        <a:xfrm>
          <a:off x="249555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55</xdr:col>
      <xdr:colOff>38100</xdr:colOff>
      <xdr:row>7</xdr:row>
      <xdr:rowOff>47625</xdr:rowOff>
    </xdr:from>
    <xdr:to>
      <xdr:col>55</xdr:col>
      <xdr:colOff>104775</xdr:colOff>
      <xdr:row>7</xdr:row>
      <xdr:rowOff>142875</xdr:rowOff>
    </xdr:to>
    <xdr:sp macro="" textlink="">
      <xdr:nvSpPr>
        <xdr:cNvPr id="458" name="Diagrama de flujo: conector 457">
          <a:extLst>
            <a:ext uri="{FF2B5EF4-FFF2-40B4-BE49-F238E27FC236}">
              <a16:creationId xmlns:a16="http://schemas.microsoft.com/office/drawing/2014/main" id="{62340E9F-0D4C-43AB-B3D2-0C26C8D047DB}"/>
            </a:ext>
          </a:extLst>
        </xdr:cNvPr>
        <xdr:cNvSpPr/>
      </xdr:nvSpPr>
      <xdr:spPr>
        <a:xfrm>
          <a:off x="24955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55</xdr:col>
      <xdr:colOff>38100</xdr:colOff>
      <xdr:row>8</xdr:row>
      <xdr:rowOff>57150</xdr:rowOff>
    </xdr:from>
    <xdr:to>
      <xdr:col>55</xdr:col>
      <xdr:colOff>104775</xdr:colOff>
      <xdr:row>8</xdr:row>
      <xdr:rowOff>152400</xdr:rowOff>
    </xdr:to>
    <xdr:sp macro="" textlink="">
      <xdr:nvSpPr>
        <xdr:cNvPr id="459" name="Diagrama de flujo: conector 458">
          <a:extLst>
            <a:ext uri="{FF2B5EF4-FFF2-40B4-BE49-F238E27FC236}">
              <a16:creationId xmlns:a16="http://schemas.microsoft.com/office/drawing/2014/main" id="{B24C9CA6-70E5-43AE-8154-1CB54A5F7424}"/>
            </a:ext>
          </a:extLst>
        </xdr:cNvPr>
        <xdr:cNvSpPr/>
      </xdr:nvSpPr>
      <xdr:spPr>
        <a:xfrm>
          <a:off x="24955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55</xdr:col>
      <xdr:colOff>38100</xdr:colOff>
      <xdr:row>9</xdr:row>
      <xdr:rowOff>57150</xdr:rowOff>
    </xdr:from>
    <xdr:to>
      <xdr:col>55</xdr:col>
      <xdr:colOff>104775</xdr:colOff>
      <xdr:row>9</xdr:row>
      <xdr:rowOff>152400</xdr:rowOff>
    </xdr:to>
    <xdr:sp macro="" textlink="">
      <xdr:nvSpPr>
        <xdr:cNvPr id="460" name="Diagrama de flujo: conector 459">
          <a:extLst>
            <a:ext uri="{FF2B5EF4-FFF2-40B4-BE49-F238E27FC236}">
              <a16:creationId xmlns:a16="http://schemas.microsoft.com/office/drawing/2014/main" id="{7F4B0C71-FE29-4263-982F-1D2FC2D74FDA}"/>
            </a:ext>
          </a:extLst>
        </xdr:cNvPr>
        <xdr:cNvSpPr/>
      </xdr:nvSpPr>
      <xdr:spPr>
        <a:xfrm>
          <a:off x="24955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55</xdr:col>
      <xdr:colOff>38100</xdr:colOff>
      <xdr:row>10</xdr:row>
      <xdr:rowOff>47625</xdr:rowOff>
    </xdr:from>
    <xdr:to>
      <xdr:col>55</xdr:col>
      <xdr:colOff>104775</xdr:colOff>
      <xdr:row>10</xdr:row>
      <xdr:rowOff>142875</xdr:rowOff>
    </xdr:to>
    <xdr:sp macro="" textlink="">
      <xdr:nvSpPr>
        <xdr:cNvPr id="461" name="Diagrama de flujo: conector 460">
          <a:extLst>
            <a:ext uri="{FF2B5EF4-FFF2-40B4-BE49-F238E27FC236}">
              <a16:creationId xmlns:a16="http://schemas.microsoft.com/office/drawing/2014/main" id="{13116AB0-BA23-47DA-BD6B-C8EA985D9A28}"/>
            </a:ext>
          </a:extLst>
        </xdr:cNvPr>
        <xdr:cNvSpPr/>
      </xdr:nvSpPr>
      <xdr:spPr>
        <a:xfrm>
          <a:off x="249555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55</xdr:col>
      <xdr:colOff>38100</xdr:colOff>
      <xdr:row>12</xdr:row>
      <xdr:rowOff>47625</xdr:rowOff>
    </xdr:from>
    <xdr:to>
      <xdr:col>55</xdr:col>
      <xdr:colOff>104775</xdr:colOff>
      <xdr:row>12</xdr:row>
      <xdr:rowOff>142875</xdr:rowOff>
    </xdr:to>
    <xdr:sp macro="" textlink="">
      <xdr:nvSpPr>
        <xdr:cNvPr id="462" name="Diagrama de flujo: conector 461">
          <a:extLst>
            <a:ext uri="{FF2B5EF4-FFF2-40B4-BE49-F238E27FC236}">
              <a16:creationId xmlns:a16="http://schemas.microsoft.com/office/drawing/2014/main" id="{5353E68C-977C-4F63-A5AC-FF4DF5B0A1DB}"/>
            </a:ext>
          </a:extLst>
        </xdr:cNvPr>
        <xdr:cNvSpPr/>
      </xdr:nvSpPr>
      <xdr:spPr>
        <a:xfrm>
          <a:off x="24955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56</xdr:col>
      <xdr:colOff>38100</xdr:colOff>
      <xdr:row>2</xdr:row>
      <xdr:rowOff>57150</xdr:rowOff>
    </xdr:from>
    <xdr:to>
      <xdr:col>56</xdr:col>
      <xdr:colOff>104775</xdr:colOff>
      <xdr:row>2</xdr:row>
      <xdr:rowOff>152400</xdr:rowOff>
    </xdr:to>
    <xdr:sp macro="" textlink="">
      <xdr:nvSpPr>
        <xdr:cNvPr id="463" name="Diagrama de flujo: conector 462">
          <a:extLst>
            <a:ext uri="{FF2B5EF4-FFF2-40B4-BE49-F238E27FC236}">
              <a16:creationId xmlns:a16="http://schemas.microsoft.com/office/drawing/2014/main" id="{24B486B7-3C72-4437-BDFC-EDB8514D3F03}"/>
            </a:ext>
          </a:extLst>
        </xdr:cNvPr>
        <xdr:cNvSpPr/>
      </xdr:nvSpPr>
      <xdr:spPr>
        <a:xfrm>
          <a:off x="26289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56</xdr:col>
      <xdr:colOff>38100</xdr:colOff>
      <xdr:row>3</xdr:row>
      <xdr:rowOff>57150</xdr:rowOff>
    </xdr:from>
    <xdr:to>
      <xdr:col>56</xdr:col>
      <xdr:colOff>104775</xdr:colOff>
      <xdr:row>3</xdr:row>
      <xdr:rowOff>152400</xdr:rowOff>
    </xdr:to>
    <xdr:sp macro="" textlink="">
      <xdr:nvSpPr>
        <xdr:cNvPr id="464" name="Diagrama de flujo: conector 463">
          <a:extLst>
            <a:ext uri="{FF2B5EF4-FFF2-40B4-BE49-F238E27FC236}">
              <a16:creationId xmlns:a16="http://schemas.microsoft.com/office/drawing/2014/main" id="{AF163726-5978-486E-8571-030E6AC34176}"/>
            </a:ext>
          </a:extLst>
        </xdr:cNvPr>
        <xdr:cNvSpPr/>
      </xdr:nvSpPr>
      <xdr:spPr>
        <a:xfrm>
          <a:off x="26289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56</xdr:col>
      <xdr:colOff>38100</xdr:colOff>
      <xdr:row>4</xdr:row>
      <xdr:rowOff>57150</xdr:rowOff>
    </xdr:from>
    <xdr:to>
      <xdr:col>56</xdr:col>
      <xdr:colOff>104775</xdr:colOff>
      <xdr:row>4</xdr:row>
      <xdr:rowOff>152400</xdr:rowOff>
    </xdr:to>
    <xdr:sp macro="" textlink="">
      <xdr:nvSpPr>
        <xdr:cNvPr id="465" name="Diagrama de flujo: conector 464">
          <a:extLst>
            <a:ext uri="{FF2B5EF4-FFF2-40B4-BE49-F238E27FC236}">
              <a16:creationId xmlns:a16="http://schemas.microsoft.com/office/drawing/2014/main" id="{0058E6B0-B75B-48DE-A27E-028CA83A797A}"/>
            </a:ext>
          </a:extLst>
        </xdr:cNvPr>
        <xdr:cNvSpPr/>
      </xdr:nvSpPr>
      <xdr:spPr>
        <a:xfrm>
          <a:off x="26289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56</xdr:col>
      <xdr:colOff>38100</xdr:colOff>
      <xdr:row>5</xdr:row>
      <xdr:rowOff>57150</xdr:rowOff>
    </xdr:from>
    <xdr:to>
      <xdr:col>56</xdr:col>
      <xdr:colOff>104775</xdr:colOff>
      <xdr:row>5</xdr:row>
      <xdr:rowOff>152400</xdr:rowOff>
    </xdr:to>
    <xdr:sp macro="" textlink="">
      <xdr:nvSpPr>
        <xdr:cNvPr id="466" name="Diagrama de flujo: conector 465">
          <a:extLst>
            <a:ext uri="{FF2B5EF4-FFF2-40B4-BE49-F238E27FC236}">
              <a16:creationId xmlns:a16="http://schemas.microsoft.com/office/drawing/2014/main" id="{B2AC80F5-940F-4DDA-9AAD-1F6F7EE116D0}"/>
            </a:ext>
          </a:extLst>
        </xdr:cNvPr>
        <xdr:cNvSpPr/>
      </xdr:nvSpPr>
      <xdr:spPr>
        <a:xfrm>
          <a:off x="26289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56</xdr:col>
      <xdr:colOff>38100</xdr:colOff>
      <xdr:row>6</xdr:row>
      <xdr:rowOff>47625</xdr:rowOff>
    </xdr:from>
    <xdr:to>
      <xdr:col>56</xdr:col>
      <xdr:colOff>104775</xdr:colOff>
      <xdr:row>6</xdr:row>
      <xdr:rowOff>142875</xdr:rowOff>
    </xdr:to>
    <xdr:sp macro="" textlink="">
      <xdr:nvSpPr>
        <xdr:cNvPr id="467" name="Diagrama de flujo: conector 466">
          <a:extLst>
            <a:ext uri="{FF2B5EF4-FFF2-40B4-BE49-F238E27FC236}">
              <a16:creationId xmlns:a16="http://schemas.microsoft.com/office/drawing/2014/main" id="{50FAEF6C-F1C5-4439-A4D6-7246ED4FA1A2}"/>
            </a:ext>
          </a:extLst>
        </xdr:cNvPr>
        <xdr:cNvSpPr/>
      </xdr:nvSpPr>
      <xdr:spPr>
        <a:xfrm>
          <a:off x="262890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56</xdr:col>
      <xdr:colOff>38100</xdr:colOff>
      <xdr:row>7</xdr:row>
      <xdr:rowOff>47625</xdr:rowOff>
    </xdr:from>
    <xdr:to>
      <xdr:col>56</xdr:col>
      <xdr:colOff>104775</xdr:colOff>
      <xdr:row>7</xdr:row>
      <xdr:rowOff>142875</xdr:rowOff>
    </xdr:to>
    <xdr:sp macro="" textlink="">
      <xdr:nvSpPr>
        <xdr:cNvPr id="468" name="Diagrama de flujo: conector 467">
          <a:extLst>
            <a:ext uri="{FF2B5EF4-FFF2-40B4-BE49-F238E27FC236}">
              <a16:creationId xmlns:a16="http://schemas.microsoft.com/office/drawing/2014/main" id="{51AA1155-71A0-45B2-A16B-5681341B7569}"/>
            </a:ext>
          </a:extLst>
        </xdr:cNvPr>
        <xdr:cNvSpPr/>
      </xdr:nvSpPr>
      <xdr:spPr>
        <a:xfrm>
          <a:off x="26289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56</xdr:col>
      <xdr:colOff>38100</xdr:colOff>
      <xdr:row>8</xdr:row>
      <xdr:rowOff>57150</xdr:rowOff>
    </xdr:from>
    <xdr:to>
      <xdr:col>56</xdr:col>
      <xdr:colOff>104775</xdr:colOff>
      <xdr:row>8</xdr:row>
      <xdr:rowOff>152400</xdr:rowOff>
    </xdr:to>
    <xdr:sp macro="" textlink="">
      <xdr:nvSpPr>
        <xdr:cNvPr id="469" name="Diagrama de flujo: conector 468">
          <a:extLst>
            <a:ext uri="{FF2B5EF4-FFF2-40B4-BE49-F238E27FC236}">
              <a16:creationId xmlns:a16="http://schemas.microsoft.com/office/drawing/2014/main" id="{EA10A61A-7027-4CE0-B5E4-5DD1CAEB86C9}"/>
            </a:ext>
          </a:extLst>
        </xdr:cNvPr>
        <xdr:cNvSpPr/>
      </xdr:nvSpPr>
      <xdr:spPr>
        <a:xfrm>
          <a:off x="26289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56</xdr:col>
      <xdr:colOff>38100</xdr:colOff>
      <xdr:row>9</xdr:row>
      <xdr:rowOff>57150</xdr:rowOff>
    </xdr:from>
    <xdr:to>
      <xdr:col>56</xdr:col>
      <xdr:colOff>104775</xdr:colOff>
      <xdr:row>9</xdr:row>
      <xdr:rowOff>152400</xdr:rowOff>
    </xdr:to>
    <xdr:sp macro="" textlink="">
      <xdr:nvSpPr>
        <xdr:cNvPr id="470" name="Diagrama de flujo: conector 469">
          <a:extLst>
            <a:ext uri="{FF2B5EF4-FFF2-40B4-BE49-F238E27FC236}">
              <a16:creationId xmlns:a16="http://schemas.microsoft.com/office/drawing/2014/main" id="{9DB37B0B-DA23-4563-91AC-73B92E1F1E45}"/>
            </a:ext>
          </a:extLst>
        </xdr:cNvPr>
        <xdr:cNvSpPr/>
      </xdr:nvSpPr>
      <xdr:spPr>
        <a:xfrm>
          <a:off x="26289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56</xdr:col>
      <xdr:colOff>38100</xdr:colOff>
      <xdr:row>10</xdr:row>
      <xdr:rowOff>47625</xdr:rowOff>
    </xdr:from>
    <xdr:to>
      <xdr:col>56</xdr:col>
      <xdr:colOff>104775</xdr:colOff>
      <xdr:row>10</xdr:row>
      <xdr:rowOff>142875</xdr:rowOff>
    </xdr:to>
    <xdr:sp macro="" textlink="">
      <xdr:nvSpPr>
        <xdr:cNvPr id="471" name="Diagrama de flujo: conector 470">
          <a:extLst>
            <a:ext uri="{FF2B5EF4-FFF2-40B4-BE49-F238E27FC236}">
              <a16:creationId xmlns:a16="http://schemas.microsoft.com/office/drawing/2014/main" id="{6FE68584-C60B-4B60-A0F2-68983EC44772}"/>
            </a:ext>
          </a:extLst>
        </xdr:cNvPr>
        <xdr:cNvSpPr/>
      </xdr:nvSpPr>
      <xdr:spPr>
        <a:xfrm>
          <a:off x="262890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56</xdr:col>
      <xdr:colOff>38100</xdr:colOff>
      <xdr:row>12</xdr:row>
      <xdr:rowOff>47625</xdr:rowOff>
    </xdr:from>
    <xdr:to>
      <xdr:col>56</xdr:col>
      <xdr:colOff>104775</xdr:colOff>
      <xdr:row>12</xdr:row>
      <xdr:rowOff>142875</xdr:rowOff>
    </xdr:to>
    <xdr:sp macro="" textlink="">
      <xdr:nvSpPr>
        <xdr:cNvPr id="472" name="Diagrama de flujo: conector 471">
          <a:extLst>
            <a:ext uri="{FF2B5EF4-FFF2-40B4-BE49-F238E27FC236}">
              <a16:creationId xmlns:a16="http://schemas.microsoft.com/office/drawing/2014/main" id="{F8FAB4BA-41E5-484F-81F8-2FE330B666A6}"/>
            </a:ext>
          </a:extLst>
        </xdr:cNvPr>
        <xdr:cNvSpPr/>
      </xdr:nvSpPr>
      <xdr:spPr>
        <a:xfrm>
          <a:off x="26289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57</xdr:col>
      <xdr:colOff>38100</xdr:colOff>
      <xdr:row>2</xdr:row>
      <xdr:rowOff>57150</xdr:rowOff>
    </xdr:from>
    <xdr:to>
      <xdr:col>57</xdr:col>
      <xdr:colOff>104775</xdr:colOff>
      <xdr:row>2</xdr:row>
      <xdr:rowOff>152400</xdr:rowOff>
    </xdr:to>
    <xdr:sp macro="" textlink="">
      <xdr:nvSpPr>
        <xdr:cNvPr id="473" name="Diagrama de flujo: conector 472">
          <a:extLst>
            <a:ext uri="{FF2B5EF4-FFF2-40B4-BE49-F238E27FC236}">
              <a16:creationId xmlns:a16="http://schemas.microsoft.com/office/drawing/2014/main" id="{5F077465-9B7E-4653-B16B-32DBE423D270}"/>
            </a:ext>
          </a:extLst>
        </xdr:cNvPr>
        <xdr:cNvSpPr/>
      </xdr:nvSpPr>
      <xdr:spPr>
        <a:xfrm>
          <a:off x="27622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57</xdr:col>
      <xdr:colOff>38100</xdr:colOff>
      <xdr:row>3</xdr:row>
      <xdr:rowOff>57150</xdr:rowOff>
    </xdr:from>
    <xdr:to>
      <xdr:col>57</xdr:col>
      <xdr:colOff>104775</xdr:colOff>
      <xdr:row>3</xdr:row>
      <xdr:rowOff>152400</xdr:rowOff>
    </xdr:to>
    <xdr:sp macro="" textlink="">
      <xdr:nvSpPr>
        <xdr:cNvPr id="474" name="Diagrama de flujo: conector 473">
          <a:extLst>
            <a:ext uri="{FF2B5EF4-FFF2-40B4-BE49-F238E27FC236}">
              <a16:creationId xmlns:a16="http://schemas.microsoft.com/office/drawing/2014/main" id="{7F414390-48BE-4F0E-A306-3B31DF0DAEBB}"/>
            </a:ext>
          </a:extLst>
        </xdr:cNvPr>
        <xdr:cNvSpPr/>
      </xdr:nvSpPr>
      <xdr:spPr>
        <a:xfrm>
          <a:off x="27622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57</xdr:col>
      <xdr:colOff>38100</xdr:colOff>
      <xdr:row>4</xdr:row>
      <xdr:rowOff>57150</xdr:rowOff>
    </xdr:from>
    <xdr:to>
      <xdr:col>57</xdr:col>
      <xdr:colOff>104775</xdr:colOff>
      <xdr:row>4</xdr:row>
      <xdr:rowOff>152400</xdr:rowOff>
    </xdr:to>
    <xdr:sp macro="" textlink="">
      <xdr:nvSpPr>
        <xdr:cNvPr id="475" name="Diagrama de flujo: conector 474">
          <a:extLst>
            <a:ext uri="{FF2B5EF4-FFF2-40B4-BE49-F238E27FC236}">
              <a16:creationId xmlns:a16="http://schemas.microsoft.com/office/drawing/2014/main" id="{9DEEEC1B-3B9B-42AB-AF83-AE1FEF8F4397}"/>
            </a:ext>
          </a:extLst>
        </xdr:cNvPr>
        <xdr:cNvSpPr/>
      </xdr:nvSpPr>
      <xdr:spPr>
        <a:xfrm>
          <a:off x="27622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57</xdr:col>
      <xdr:colOff>38100</xdr:colOff>
      <xdr:row>5</xdr:row>
      <xdr:rowOff>57150</xdr:rowOff>
    </xdr:from>
    <xdr:to>
      <xdr:col>57</xdr:col>
      <xdr:colOff>104775</xdr:colOff>
      <xdr:row>5</xdr:row>
      <xdr:rowOff>152400</xdr:rowOff>
    </xdr:to>
    <xdr:sp macro="" textlink="">
      <xdr:nvSpPr>
        <xdr:cNvPr id="476" name="Diagrama de flujo: conector 475">
          <a:extLst>
            <a:ext uri="{FF2B5EF4-FFF2-40B4-BE49-F238E27FC236}">
              <a16:creationId xmlns:a16="http://schemas.microsoft.com/office/drawing/2014/main" id="{49F9F968-7BE7-4DA2-A774-6CC3A8E103E5}"/>
            </a:ext>
          </a:extLst>
        </xdr:cNvPr>
        <xdr:cNvSpPr/>
      </xdr:nvSpPr>
      <xdr:spPr>
        <a:xfrm>
          <a:off x="27622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57</xdr:col>
      <xdr:colOff>38100</xdr:colOff>
      <xdr:row>6</xdr:row>
      <xdr:rowOff>47625</xdr:rowOff>
    </xdr:from>
    <xdr:to>
      <xdr:col>57</xdr:col>
      <xdr:colOff>104775</xdr:colOff>
      <xdr:row>6</xdr:row>
      <xdr:rowOff>142875</xdr:rowOff>
    </xdr:to>
    <xdr:sp macro="" textlink="">
      <xdr:nvSpPr>
        <xdr:cNvPr id="477" name="Diagrama de flujo: conector 476">
          <a:extLst>
            <a:ext uri="{FF2B5EF4-FFF2-40B4-BE49-F238E27FC236}">
              <a16:creationId xmlns:a16="http://schemas.microsoft.com/office/drawing/2014/main" id="{FD23325B-C00A-4505-83EF-4A6E4483C638}"/>
            </a:ext>
          </a:extLst>
        </xdr:cNvPr>
        <xdr:cNvSpPr/>
      </xdr:nvSpPr>
      <xdr:spPr>
        <a:xfrm>
          <a:off x="276225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57</xdr:col>
      <xdr:colOff>38100</xdr:colOff>
      <xdr:row>7</xdr:row>
      <xdr:rowOff>47625</xdr:rowOff>
    </xdr:from>
    <xdr:to>
      <xdr:col>57</xdr:col>
      <xdr:colOff>104775</xdr:colOff>
      <xdr:row>7</xdr:row>
      <xdr:rowOff>142875</xdr:rowOff>
    </xdr:to>
    <xdr:sp macro="" textlink="">
      <xdr:nvSpPr>
        <xdr:cNvPr id="478" name="Diagrama de flujo: conector 477">
          <a:extLst>
            <a:ext uri="{FF2B5EF4-FFF2-40B4-BE49-F238E27FC236}">
              <a16:creationId xmlns:a16="http://schemas.microsoft.com/office/drawing/2014/main" id="{30F7A7CD-29DE-4273-9C70-A9A29D213150}"/>
            </a:ext>
          </a:extLst>
        </xdr:cNvPr>
        <xdr:cNvSpPr/>
      </xdr:nvSpPr>
      <xdr:spPr>
        <a:xfrm>
          <a:off x="27622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57</xdr:col>
      <xdr:colOff>38100</xdr:colOff>
      <xdr:row>8</xdr:row>
      <xdr:rowOff>57150</xdr:rowOff>
    </xdr:from>
    <xdr:to>
      <xdr:col>57</xdr:col>
      <xdr:colOff>104775</xdr:colOff>
      <xdr:row>8</xdr:row>
      <xdr:rowOff>152400</xdr:rowOff>
    </xdr:to>
    <xdr:sp macro="" textlink="">
      <xdr:nvSpPr>
        <xdr:cNvPr id="479" name="Diagrama de flujo: conector 478">
          <a:extLst>
            <a:ext uri="{FF2B5EF4-FFF2-40B4-BE49-F238E27FC236}">
              <a16:creationId xmlns:a16="http://schemas.microsoft.com/office/drawing/2014/main" id="{B5DEB190-88A8-4AB5-BFB2-BD7B1661A843}"/>
            </a:ext>
          </a:extLst>
        </xdr:cNvPr>
        <xdr:cNvSpPr/>
      </xdr:nvSpPr>
      <xdr:spPr>
        <a:xfrm>
          <a:off x="27622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57</xdr:col>
      <xdr:colOff>38100</xdr:colOff>
      <xdr:row>9</xdr:row>
      <xdr:rowOff>57150</xdr:rowOff>
    </xdr:from>
    <xdr:to>
      <xdr:col>57</xdr:col>
      <xdr:colOff>104775</xdr:colOff>
      <xdr:row>9</xdr:row>
      <xdr:rowOff>152400</xdr:rowOff>
    </xdr:to>
    <xdr:sp macro="" textlink="">
      <xdr:nvSpPr>
        <xdr:cNvPr id="480" name="Diagrama de flujo: conector 479">
          <a:extLst>
            <a:ext uri="{FF2B5EF4-FFF2-40B4-BE49-F238E27FC236}">
              <a16:creationId xmlns:a16="http://schemas.microsoft.com/office/drawing/2014/main" id="{99C47E10-58A2-4B7D-BF81-3992B196F695}"/>
            </a:ext>
          </a:extLst>
        </xdr:cNvPr>
        <xdr:cNvSpPr/>
      </xdr:nvSpPr>
      <xdr:spPr>
        <a:xfrm>
          <a:off x="27622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57</xdr:col>
      <xdr:colOff>38100</xdr:colOff>
      <xdr:row>10</xdr:row>
      <xdr:rowOff>47625</xdr:rowOff>
    </xdr:from>
    <xdr:to>
      <xdr:col>57</xdr:col>
      <xdr:colOff>104775</xdr:colOff>
      <xdr:row>10</xdr:row>
      <xdr:rowOff>142875</xdr:rowOff>
    </xdr:to>
    <xdr:sp macro="" textlink="">
      <xdr:nvSpPr>
        <xdr:cNvPr id="481" name="Diagrama de flujo: conector 480">
          <a:extLst>
            <a:ext uri="{FF2B5EF4-FFF2-40B4-BE49-F238E27FC236}">
              <a16:creationId xmlns:a16="http://schemas.microsoft.com/office/drawing/2014/main" id="{0ADE692C-CB12-4D95-9525-38782F485D1A}"/>
            </a:ext>
          </a:extLst>
        </xdr:cNvPr>
        <xdr:cNvSpPr/>
      </xdr:nvSpPr>
      <xdr:spPr>
        <a:xfrm>
          <a:off x="276225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57</xdr:col>
      <xdr:colOff>38100</xdr:colOff>
      <xdr:row>12</xdr:row>
      <xdr:rowOff>47625</xdr:rowOff>
    </xdr:from>
    <xdr:to>
      <xdr:col>57</xdr:col>
      <xdr:colOff>104775</xdr:colOff>
      <xdr:row>12</xdr:row>
      <xdr:rowOff>142875</xdr:rowOff>
    </xdr:to>
    <xdr:sp macro="" textlink="">
      <xdr:nvSpPr>
        <xdr:cNvPr id="482" name="Diagrama de flujo: conector 481">
          <a:extLst>
            <a:ext uri="{FF2B5EF4-FFF2-40B4-BE49-F238E27FC236}">
              <a16:creationId xmlns:a16="http://schemas.microsoft.com/office/drawing/2014/main" id="{596CED29-5063-41AB-B718-35A99CD591A1}"/>
            </a:ext>
          </a:extLst>
        </xdr:cNvPr>
        <xdr:cNvSpPr/>
      </xdr:nvSpPr>
      <xdr:spPr>
        <a:xfrm>
          <a:off x="27622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58</xdr:col>
      <xdr:colOff>38100</xdr:colOff>
      <xdr:row>2</xdr:row>
      <xdr:rowOff>57150</xdr:rowOff>
    </xdr:from>
    <xdr:to>
      <xdr:col>58</xdr:col>
      <xdr:colOff>104775</xdr:colOff>
      <xdr:row>2</xdr:row>
      <xdr:rowOff>152400</xdr:rowOff>
    </xdr:to>
    <xdr:sp macro="" textlink="">
      <xdr:nvSpPr>
        <xdr:cNvPr id="483" name="Diagrama de flujo: conector 482">
          <a:extLst>
            <a:ext uri="{FF2B5EF4-FFF2-40B4-BE49-F238E27FC236}">
              <a16:creationId xmlns:a16="http://schemas.microsoft.com/office/drawing/2014/main" id="{C1E73EA6-FA21-4136-B72E-0A3E01C9F5F3}"/>
            </a:ext>
          </a:extLst>
        </xdr:cNvPr>
        <xdr:cNvSpPr/>
      </xdr:nvSpPr>
      <xdr:spPr>
        <a:xfrm>
          <a:off x="28956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58</xdr:col>
      <xdr:colOff>38100</xdr:colOff>
      <xdr:row>3</xdr:row>
      <xdr:rowOff>57150</xdr:rowOff>
    </xdr:from>
    <xdr:to>
      <xdr:col>58</xdr:col>
      <xdr:colOff>104775</xdr:colOff>
      <xdr:row>3</xdr:row>
      <xdr:rowOff>152400</xdr:rowOff>
    </xdr:to>
    <xdr:sp macro="" textlink="">
      <xdr:nvSpPr>
        <xdr:cNvPr id="484" name="Diagrama de flujo: conector 483">
          <a:extLst>
            <a:ext uri="{FF2B5EF4-FFF2-40B4-BE49-F238E27FC236}">
              <a16:creationId xmlns:a16="http://schemas.microsoft.com/office/drawing/2014/main" id="{F4B8C5A6-AD37-4B3A-BD4F-826D89B8C8D5}"/>
            </a:ext>
          </a:extLst>
        </xdr:cNvPr>
        <xdr:cNvSpPr/>
      </xdr:nvSpPr>
      <xdr:spPr>
        <a:xfrm>
          <a:off x="28956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58</xdr:col>
      <xdr:colOff>38100</xdr:colOff>
      <xdr:row>4</xdr:row>
      <xdr:rowOff>57150</xdr:rowOff>
    </xdr:from>
    <xdr:to>
      <xdr:col>58</xdr:col>
      <xdr:colOff>104775</xdr:colOff>
      <xdr:row>4</xdr:row>
      <xdr:rowOff>152400</xdr:rowOff>
    </xdr:to>
    <xdr:sp macro="" textlink="">
      <xdr:nvSpPr>
        <xdr:cNvPr id="485" name="Diagrama de flujo: conector 484">
          <a:extLst>
            <a:ext uri="{FF2B5EF4-FFF2-40B4-BE49-F238E27FC236}">
              <a16:creationId xmlns:a16="http://schemas.microsoft.com/office/drawing/2014/main" id="{B8CD1B2A-FC58-4CE1-A34D-B53E9357FF3F}"/>
            </a:ext>
          </a:extLst>
        </xdr:cNvPr>
        <xdr:cNvSpPr/>
      </xdr:nvSpPr>
      <xdr:spPr>
        <a:xfrm>
          <a:off x="28956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58</xdr:col>
      <xdr:colOff>38100</xdr:colOff>
      <xdr:row>5</xdr:row>
      <xdr:rowOff>57150</xdr:rowOff>
    </xdr:from>
    <xdr:to>
      <xdr:col>58</xdr:col>
      <xdr:colOff>104775</xdr:colOff>
      <xdr:row>5</xdr:row>
      <xdr:rowOff>152400</xdr:rowOff>
    </xdr:to>
    <xdr:sp macro="" textlink="">
      <xdr:nvSpPr>
        <xdr:cNvPr id="486" name="Diagrama de flujo: conector 485">
          <a:extLst>
            <a:ext uri="{FF2B5EF4-FFF2-40B4-BE49-F238E27FC236}">
              <a16:creationId xmlns:a16="http://schemas.microsoft.com/office/drawing/2014/main" id="{874D0FF9-D2DC-45D0-8F12-33C233C11D30}"/>
            </a:ext>
          </a:extLst>
        </xdr:cNvPr>
        <xdr:cNvSpPr/>
      </xdr:nvSpPr>
      <xdr:spPr>
        <a:xfrm>
          <a:off x="28956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58</xdr:col>
      <xdr:colOff>38100</xdr:colOff>
      <xdr:row>6</xdr:row>
      <xdr:rowOff>47625</xdr:rowOff>
    </xdr:from>
    <xdr:to>
      <xdr:col>58</xdr:col>
      <xdr:colOff>104775</xdr:colOff>
      <xdr:row>6</xdr:row>
      <xdr:rowOff>142875</xdr:rowOff>
    </xdr:to>
    <xdr:sp macro="" textlink="">
      <xdr:nvSpPr>
        <xdr:cNvPr id="487" name="Diagrama de flujo: conector 486">
          <a:extLst>
            <a:ext uri="{FF2B5EF4-FFF2-40B4-BE49-F238E27FC236}">
              <a16:creationId xmlns:a16="http://schemas.microsoft.com/office/drawing/2014/main" id="{1712317F-B31D-43AD-AA01-4B72BD61BC5F}"/>
            </a:ext>
          </a:extLst>
        </xdr:cNvPr>
        <xdr:cNvSpPr/>
      </xdr:nvSpPr>
      <xdr:spPr>
        <a:xfrm>
          <a:off x="289560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58</xdr:col>
      <xdr:colOff>38100</xdr:colOff>
      <xdr:row>7</xdr:row>
      <xdr:rowOff>47625</xdr:rowOff>
    </xdr:from>
    <xdr:to>
      <xdr:col>58</xdr:col>
      <xdr:colOff>104775</xdr:colOff>
      <xdr:row>7</xdr:row>
      <xdr:rowOff>142875</xdr:rowOff>
    </xdr:to>
    <xdr:sp macro="" textlink="">
      <xdr:nvSpPr>
        <xdr:cNvPr id="488" name="Diagrama de flujo: conector 487">
          <a:extLst>
            <a:ext uri="{FF2B5EF4-FFF2-40B4-BE49-F238E27FC236}">
              <a16:creationId xmlns:a16="http://schemas.microsoft.com/office/drawing/2014/main" id="{BEA7661D-FBCC-4998-BC48-601C1CEE3F52}"/>
            </a:ext>
          </a:extLst>
        </xdr:cNvPr>
        <xdr:cNvSpPr/>
      </xdr:nvSpPr>
      <xdr:spPr>
        <a:xfrm>
          <a:off x="28956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58</xdr:col>
      <xdr:colOff>38100</xdr:colOff>
      <xdr:row>8</xdr:row>
      <xdr:rowOff>57150</xdr:rowOff>
    </xdr:from>
    <xdr:to>
      <xdr:col>58</xdr:col>
      <xdr:colOff>104775</xdr:colOff>
      <xdr:row>8</xdr:row>
      <xdr:rowOff>152400</xdr:rowOff>
    </xdr:to>
    <xdr:sp macro="" textlink="">
      <xdr:nvSpPr>
        <xdr:cNvPr id="489" name="Diagrama de flujo: conector 488">
          <a:extLst>
            <a:ext uri="{FF2B5EF4-FFF2-40B4-BE49-F238E27FC236}">
              <a16:creationId xmlns:a16="http://schemas.microsoft.com/office/drawing/2014/main" id="{DB19E480-DC24-43AB-94DA-EE35A3C95623}"/>
            </a:ext>
          </a:extLst>
        </xdr:cNvPr>
        <xdr:cNvSpPr/>
      </xdr:nvSpPr>
      <xdr:spPr>
        <a:xfrm>
          <a:off x="28956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58</xdr:col>
      <xdr:colOff>38100</xdr:colOff>
      <xdr:row>9</xdr:row>
      <xdr:rowOff>57150</xdr:rowOff>
    </xdr:from>
    <xdr:to>
      <xdr:col>58</xdr:col>
      <xdr:colOff>104775</xdr:colOff>
      <xdr:row>9</xdr:row>
      <xdr:rowOff>152400</xdr:rowOff>
    </xdr:to>
    <xdr:sp macro="" textlink="">
      <xdr:nvSpPr>
        <xdr:cNvPr id="490" name="Diagrama de flujo: conector 489">
          <a:extLst>
            <a:ext uri="{FF2B5EF4-FFF2-40B4-BE49-F238E27FC236}">
              <a16:creationId xmlns:a16="http://schemas.microsoft.com/office/drawing/2014/main" id="{48868F81-D39A-4F09-8BEF-13056B0E557D}"/>
            </a:ext>
          </a:extLst>
        </xdr:cNvPr>
        <xdr:cNvSpPr/>
      </xdr:nvSpPr>
      <xdr:spPr>
        <a:xfrm>
          <a:off x="28956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58</xdr:col>
      <xdr:colOff>38100</xdr:colOff>
      <xdr:row>10</xdr:row>
      <xdr:rowOff>47625</xdr:rowOff>
    </xdr:from>
    <xdr:to>
      <xdr:col>58</xdr:col>
      <xdr:colOff>104775</xdr:colOff>
      <xdr:row>10</xdr:row>
      <xdr:rowOff>142875</xdr:rowOff>
    </xdr:to>
    <xdr:sp macro="" textlink="">
      <xdr:nvSpPr>
        <xdr:cNvPr id="491" name="Diagrama de flujo: conector 490">
          <a:extLst>
            <a:ext uri="{FF2B5EF4-FFF2-40B4-BE49-F238E27FC236}">
              <a16:creationId xmlns:a16="http://schemas.microsoft.com/office/drawing/2014/main" id="{320A1ED5-26B3-4E81-AEDE-DF225C53131D}"/>
            </a:ext>
          </a:extLst>
        </xdr:cNvPr>
        <xdr:cNvSpPr/>
      </xdr:nvSpPr>
      <xdr:spPr>
        <a:xfrm>
          <a:off x="289560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58</xdr:col>
      <xdr:colOff>38100</xdr:colOff>
      <xdr:row>12</xdr:row>
      <xdr:rowOff>47625</xdr:rowOff>
    </xdr:from>
    <xdr:to>
      <xdr:col>58</xdr:col>
      <xdr:colOff>104775</xdr:colOff>
      <xdr:row>12</xdr:row>
      <xdr:rowOff>142875</xdr:rowOff>
    </xdr:to>
    <xdr:sp macro="" textlink="">
      <xdr:nvSpPr>
        <xdr:cNvPr id="492" name="Diagrama de flujo: conector 491">
          <a:extLst>
            <a:ext uri="{FF2B5EF4-FFF2-40B4-BE49-F238E27FC236}">
              <a16:creationId xmlns:a16="http://schemas.microsoft.com/office/drawing/2014/main" id="{671FE7D7-B33C-4D6A-BDF7-D2249AA34744}"/>
            </a:ext>
          </a:extLst>
        </xdr:cNvPr>
        <xdr:cNvSpPr/>
      </xdr:nvSpPr>
      <xdr:spPr>
        <a:xfrm>
          <a:off x="28956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51</xdr:col>
      <xdr:colOff>38100</xdr:colOff>
      <xdr:row>2</xdr:row>
      <xdr:rowOff>57150</xdr:rowOff>
    </xdr:from>
    <xdr:to>
      <xdr:col>51</xdr:col>
      <xdr:colOff>104775</xdr:colOff>
      <xdr:row>2</xdr:row>
      <xdr:rowOff>152400</xdr:rowOff>
    </xdr:to>
    <xdr:sp macro="" textlink="">
      <xdr:nvSpPr>
        <xdr:cNvPr id="493" name="Diagrama de flujo: conector 492">
          <a:extLst>
            <a:ext uri="{FF2B5EF4-FFF2-40B4-BE49-F238E27FC236}">
              <a16:creationId xmlns:a16="http://schemas.microsoft.com/office/drawing/2014/main" id="{7389663C-2626-4599-B21B-6D3FC682FB66}"/>
            </a:ext>
          </a:extLst>
        </xdr:cNvPr>
        <xdr:cNvSpPr/>
      </xdr:nvSpPr>
      <xdr:spPr>
        <a:xfrm>
          <a:off x="19621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51</xdr:col>
      <xdr:colOff>38100</xdr:colOff>
      <xdr:row>3</xdr:row>
      <xdr:rowOff>57150</xdr:rowOff>
    </xdr:from>
    <xdr:to>
      <xdr:col>51</xdr:col>
      <xdr:colOff>104775</xdr:colOff>
      <xdr:row>3</xdr:row>
      <xdr:rowOff>152400</xdr:rowOff>
    </xdr:to>
    <xdr:sp macro="" textlink="">
      <xdr:nvSpPr>
        <xdr:cNvPr id="494" name="Diagrama de flujo: conector 493">
          <a:extLst>
            <a:ext uri="{FF2B5EF4-FFF2-40B4-BE49-F238E27FC236}">
              <a16:creationId xmlns:a16="http://schemas.microsoft.com/office/drawing/2014/main" id="{D5F545CC-8BB0-4A07-BE8A-6A73582112EB}"/>
            </a:ext>
          </a:extLst>
        </xdr:cNvPr>
        <xdr:cNvSpPr/>
      </xdr:nvSpPr>
      <xdr:spPr>
        <a:xfrm>
          <a:off x="19621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51</xdr:col>
      <xdr:colOff>38100</xdr:colOff>
      <xdr:row>4</xdr:row>
      <xdr:rowOff>57150</xdr:rowOff>
    </xdr:from>
    <xdr:to>
      <xdr:col>51</xdr:col>
      <xdr:colOff>104775</xdr:colOff>
      <xdr:row>4</xdr:row>
      <xdr:rowOff>152400</xdr:rowOff>
    </xdr:to>
    <xdr:sp macro="" textlink="">
      <xdr:nvSpPr>
        <xdr:cNvPr id="495" name="Diagrama de flujo: conector 494">
          <a:extLst>
            <a:ext uri="{FF2B5EF4-FFF2-40B4-BE49-F238E27FC236}">
              <a16:creationId xmlns:a16="http://schemas.microsoft.com/office/drawing/2014/main" id="{21A57268-782F-4394-9233-47B3D50E6AC3}"/>
            </a:ext>
          </a:extLst>
        </xdr:cNvPr>
        <xdr:cNvSpPr/>
      </xdr:nvSpPr>
      <xdr:spPr>
        <a:xfrm>
          <a:off x="19621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51</xdr:col>
      <xdr:colOff>38100</xdr:colOff>
      <xdr:row>5</xdr:row>
      <xdr:rowOff>57150</xdr:rowOff>
    </xdr:from>
    <xdr:to>
      <xdr:col>51</xdr:col>
      <xdr:colOff>104775</xdr:colOff>
      <xdr:row>5</xdr:row>
      <xdr:rowOff>152400</xdr:rowOff>
    </xdr:to>
    <xdr:sp macro="" textlink="">
      <xdr:nvSpPr>
        <xdr:cNvPr id="496" name="Diagrama de flujo: conector 495">
          <a:extLst>
            <a:ext uri="{FF2B5EF4-FFF2-40B4-BE49-F238E27FC236}">
              <a16:creationId xmlns:a16="http://schemas.microsoft.com/office/drawing/2014/main" id="{4D864A12-CBD6-4390-8938-5604548BD525}"/>
            </a:ext>
          </a:extLst>
        </xdr:cNvPr>
        <xdr:cNvSpPr/>
      </xdr:nvSpPr>
      <xdr:spPr>
        <a:xfrm>
          <a:off x="19621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51</xdr:col>
      <xdr:colOff>38100</xdr:colOff>
      <xdr:row>6</xdr:row>
      <xdr:rowOff>47625</xdr:rowOff>
    </xdr:from>
    <xdr:to>
      <xdr:col>51</xdr:col>
      <xdr:colOff>104775</xdr:colOff>
      <xdr:row>6</xdr:row>
      <xdr:rowOff>142875</xdr:rowOff>
    </xdr:to>
    <xdr:sp macro="" textlink="">
      <xdr:nvSpPr>
        <xdr:cNvPr id="497" name="Diagrama de flujo: conector 496">
          <a:extLst>
            <a:ext uri="{FF2B5EF4-FFF2-40B4-BE49-F238E27FC236}">
              <a16:creationId xmlns:a16="http://schemas.microsoft.com/office/drawing/2014/main" id="{0448E616-857D-4EF4-90AB-2239463C1AAE}"/>
            </a:ext>
          </a:extLst>
        </xdr:cNvPr>
        <xdr:cNvSpPr/>
      </xdr:nvSpPr>
      <xdr:spPr>
        <a:xfrm>
          <a:off x="1962150" y="1200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51</xdr:col>
      <xdr:colOff>38100</xdr:colOff>
      <xdr:row>7</xdr:row>
      <xdr:rowOff>47625</xdr:rowOff>
    </xdr:from>
    <xdr:to>
      <xdr:col>51</xdr:col>
      <xdr:colOff>104775</xdr:colOff>
      <xdr:row>7</xdr:row>
      <xdr:rowOff>142875</xdr:rowOff>
    </xdr:to>
    <xdr:sp macro="" textlink="">
      <xdr:nvSpPr>
        <xdr:cNvPr id="498" name="Diagrama de flujo: conector 497">
          <a:extLst>
            <a:ext uri="{FF2B5EF4-FFF2-40B4-BE49-F238E27FC236}">
              <a16:creationId xmlns:a16="http://schemas.microsoft.com/office/drawing/2014/main" id="{5B27660B-8FE0-40A1-8257-B4FF3CD916AF}"/>
            </a:ext>
          </a:extLst>
        </xdr:cNvPr>
        <xdr:cNvSpPr/>
      </xdr:nvSpPr>
      <xdr:spPr>
        <a:xfrm>
          <a:off x="19621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51</xdr:col>
      <xdr:colOff>38100</xdr:colOff>
      <xdr:row>8</xdr:row>
      <xdr:rowOff>57150</xdr:rowOff>
    </xdr:from>
    <xdr:to>
      <xdr:col>51</xdr:col>
      <xdr:colOff>104775</xdr:colOff>
      <xdr:row>8</xdr:row>
      <xdr:rowOff>152400</xdr:rowOff>
    </xdr:to>
    <xdr:sp macro="" textlink="">
      <xdr:nvSpPr>
        <xdr:cNvPr id="499" name="Diagrama de flujo: conector 498">
          <a:extLst>
            <a:ext uri="{FF2B5EF4-FFF2-40B4-BE49-F238E27FC236}">
              <a16:creationId xmlns:a16="http://schemas.microsoft.com/office/drawing/2014/main" id="{C2D5B674-70E6-4A6C-A9D7-DA24AF7D37AC}"/>
            </a:ext>
          </a:extLst>
        </xdr:cNvPr>
        <xdr:cNvSpPr/>
      </xdr:nvSpPr>
      <xdr:spPr>
        <a:xfrm>
          <a:off x="19621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51</xdr:col>
      <xdr:colOff>38100</xdr:colOff>
      <xdr:row>9</xdr:row>
      <xdr:rowOff>57150</xdr:rowOff>
    </xdr:from>
    <xdr:to>
      <xdr:col>51</xdr:col>
      <xdr:colOff>104775</xdr:colOff>
      <xdr:row>9</xdr:row>
      <xdr:rowOff>152400</xdr:rowOff>
    </xdr:to>
    <xdr:sp macro="" textlink="">
      <xdr:nvSpPr>
        <xdr:cNvPr id="500" name="Diagrama de flujo: conector 499">
          <a:extLst>
            <a:ext uri="{FF2B5EF4-FFF2-40B4-BE49-F238E27FC236}">
              <a16:creationId xmlns:a16="http://schemas.microsoft.com/office/drawing/2014/main" id="{DB2D2D69-3083-4C85-AAA0-2639AAE28904}"/>
            </a:ext>
          </a:extLst>
        </xdr:cNvPr>
        <xdr:cNvSpPr/>
      </xdr:nvSpPr>
      <xdr:spPr>
        <a:xfrm>
          <a:off x="19621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51</xdr:col>
      <xdr:colOff>38100</xdr:colOff>
      <xdr:row>10</xdr:row>
      <xdr:rowOff>47625</xdr:rowOff>
    </xdr:from>
    <xdr:to>
      <xdr:col>51</xdr:col>
      <xdr:colOff>104775</xdr:colOff>
      <xdr:row>10</xdr:row>
      <xdr:rowOff>142875</xdr:rowOff>
    </xdr:to>
    <xdr:sp macro="" textlink="">
      <xdr:nvSpPr>
        <xdr:cNvPr id="501" name="Diagrama de flujo: conector 500">
          <a:extLst>
            <a:ext uri="{FF2B5EF4-FFF2-40B4-BE49-F238E27FC236}">
              <a16:creationId xmlns:a16="http://schemas.microsoft.com/office/drawing/2014/main" id="{D6D4C626-568C-41CE-9AFD-7B90F476B3F9}"/>
            </a:ext>
          </a:extLst>
        </xdr:cNvPr>
        <xdr:cNvSpPr/>
      </xdr:nvSpPr>
      <xdr:spPr>
        <a:xfrm>
          <a:off x="1962150" y="19621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51</xdr:col>
      <xdr:colOff>38100</xdr:colOff>
      <xdr:row>12</xdr:row>
      <xdr:rowOff>47625</xdr:rowOff>
    </xdr:from>
    <xdr:to>
      <xdr:col>51</xdr:col>
      <xdr:colOff>104775</xdr:colOff>
      <xdr:row>12</xdr:row>
      <xdr:rowOff>142875</xdr:rowOff>
    </xdr:to>
    <xdr:sp macro="" textlink="">
      <xdr:nvSpPr>
        <xdr:cNvPr id="502" name="Diagrama de flujo: conector 501">
          <a:extLst>
            <a:ext uri="{FF2B5EF4-FFF2-40B4-BE49-F238E27FC236}">
              <a16:creationId xmlns:a16="http://schemas.microsoft.com/office/drawing/2014/main" id="{48665D9A-5A6D-4583-8D62-2DF60D71A08B}"/>
            </a:ext>
          </a:extLst>
        </xdr:cNvPr>
        <xdr:cNvSpPr/>
      </xdr:nvSpPr>
      <xdr:spPr>
        <a:xfrm>
          <a:off x="19621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52</xdr:col>
      <xdr:colOff>38100</xdr:colOff>
      <xdr:row>14</xdr:row>
      <xdr:rowOff>57150</xdr:rowOff>
    </xdr:from>
    <xdr:to>
      <xdr:col>52</xdr:col>
      <xdr:colOff>104775</xdr:colOff>
      <xdr:row>14</xdr:row>
      <xdr:rowOff>152400</xdr:rowOff>
    </xdr:to>
    <xdr:sp macro="" textlink="">
      <xdr:nvSpPr>
        <xdr:cNvPr id="503" name="Diagrama de flujo: conector 502">
          <a:extLst>
            <a:ext uri="{FF2B5EF4-FFF2-40B4-BE49-F238E27FC236}">
              <a16:creationId xmlns:a16="http://schemas.microsoft.com/office/drawing/2014/main" id="{850E750E-9465-46FC-ABF5-B0BE1D877E72}"/>
            </a:ext>
          </a:extLst>
        </xdr:cNvPr>
        <xdr:cNvSpPr/>
      </xdr:nvSpPr>
      <xdr:spPr>
        <a:xfrm>
          <a:off x="20955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52</xdr:col>
      <xdr:colOff>38100</xdr:colOff>
      <xdr:row>15</xdr:row>
      <xdr:rowOff>57150</xdr:rowOff>
    </xdr:from>
    <xdr:to>
      <xdr:col>52</xdr:col>
      <xdr:colOff>104775</xdr:colOff>
      <xdr:row>15</xdr:row>
      <xdr:rowOff>152400</xdr:rowOff>
    </xdr:to>
    <xdr:sp macro="" textlink="">
      <xdr:nvSpPr>
        <xdr:cNvPr id="504" name="Diagrama de flujo: conector 503">
          <a:extLst>
            <a:ext uri="{FF2B5EF4-FFF2-40B4-BE49-F238E27FC236}">
              <a16:creationId xmlns:a16="http://schemas.microsoft.com/office/drawing/2014/main" id="{25711B77-2A71-45DD-8550-9D1FCA518730}"/>
            </a:ext>
          </a:extLst>
        </xdr:cNvPr>
        <xdr:cNvSpPr/>
      </xdr:nvSpPr>
      <xdr:spPr>
        <a:xfrm>
          <a:off x="20955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52</xdr:col>
      <xdr:colOff>38100</xdr:colOff>
      <xdr:row>16</xdr:row>
      <xdr:rowOff>57150</xdr:rowOff>
    </xdr:from>
    <xdr:to>
      <xdr:col>52</xdr:col>
      <xdr:colOff>104775</xdr:colOff>
      <xdr:row>16</xdr:row>
      <xdr:rowOff>152400</xdr:rowOff>
    </xdr:to>
    <xdr:sp macro="" textlink="">
      <xdr:nvSpPr>
        <xdr:cNvPr id="505" name="Diagrama de flujo: conector 504">
          <a:extLst>
            <a:ext uri="{FF2B5EF4-FFF2-40B4-BE49-F238E27FC236}">
              <a16:creationId xmlns:a16="http://schemas.microsoft.com/office/drawing/2014/main" id="{25E2899D-7D42-4964-9CE9-702C038AAAC4}"/>
            </a:ext>
          </a:extLst>
        </xdr:cNvPr>
        <xdr:cNvSpPr/>
      </xdr:nvSpPr>
      <xdr:spPr>
        <a:xfrm>
          <a:off x="20955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52</xdr:col>
      <xdr:colOff>38100</xdr:colOff>
      <xdr:row>17</xdr:row>
      <xdr:rowOff>57150</xdr:rowOff>
    </xdr:from>
    <xdr:to>
      <xdr:col>52</xdr:col>
      <xdr:colOff>104775</xdr:colOff>
      <xdr:row>17</xdr:row>
      <xdr:rowOff>152400</xdr:rowOff>
    </xdr:to>
    <xdr:sp macro="" textlink="">
      <xdr:nvSpPr>
        <xdr:cNvPr id="506" name="Diagrama de flujo: conector 505">
          <a:extLst>
            <a:ext uri="{FF2B5EF4-FFF2-40B4-BE49-F238E27FC236}">
              <a16:creationId xmlns:a16="http://schemas.microsoft.com/office/drawing/2014/main" id="{78ED6760-EFEC-4FDF-AD40-774551DDFAD5}"/>
            </a:ext>
          </a:extLst>
        </xdr:cNvPr>
        <xdr:cNvSpPr/>
      </xdr:nvSpPr>
      <xdr:spPr>
        <a:xfrm>
          <a:off x="20955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52</xdr:col>
      <xdr:colOff>38100</xdr:colOff>
      <xdr:row>18</xdr:row>
      <xdr:rowOff>47625</xdr:rowOff>
    </xdr:from>
    <xdr:to>
      <xdr:col>52</xdr:col>
      <xdr:colOff>104775</xdr:colOff>
      <xdr:row>18</xdr:row>
      <xdr:rowOff>142875</xdr:rowOff>
    </xdr:to>
    <xdr:sp macro="" textlink="">
      <xdr:nvSpPr>
        <xdr:cNvPr id="508" name="Diagrama de flujo: conector 507">
          <a:extLst>
            <a:ext uri="{FF2B5EF4-FFF2-40B4-BE49-F238E27FC236}">
              <a16:creationId xmlns:a16="http://schemas.microsoft.com/office/drawing/2014/main" id="{DEEBC173-A615-4124-BCCE-3C9D48031318}"/>
            </a:ext>
          </a:extLst>
        </xdr:cNvPr>
        <xdr:cNvSpPr/>
      </xdr:nvSpPr>
      <xdr:spPr>
        <a:xfrm>
          <a:off x="20955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52</xdr:col>
      <xdr:colOff>38100</xdr:colOff>
      <xdr:row>19</xdr:row>
      <xdr:rowOff>57150</xdr:rowOff>
    </xdr:from>
    <xdr:to>
      <xdr:col>52</xdr:col>
      <xdr:colOff>104775</xdr:colOff>
      <xdr:row>19</xdr:row>
      <xdr:rowOff>152400</xdr:rowOff>
    </xdr:to>
    <xdr:sp macro="" textlink="">
      <xdr:nvSpPr>
        <xdr:cNvPr id="509" name="Diagrama de flujo: conector 508">
          <a:extLst>
            <a:ext uri="{FF2B5EF4-FFF2-40B4-BE49-F238E27FC236}">
              <a16:creationId xmlns:a16="http://schemas.microsoft.com/office/drawing/2014/main" id="{6208963E-4013-437C-A450-48CD36D58E36}"/>
            </a:ext>
          </a:extLst>
        </xdr:cNvPr>
        <xdr:cNvSpPr/>
      </xdr:nvSpPr>
      <xdr:spPr>
        <a:xfrm>
          <a:off x="20955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52</xdr:col>
      <xdr:colOff>38100</xdr:colOff>
      <xdr:row>20</xdr:row>
      <xdr:rowOff>57150</xdr:rowOff>
    </xdr:from>
    <xdr:to>
      <xdr:col>52</xdr:col>
      <xdr:colOff>104775</xdr:colOff>
      <xdr:row>20</xdr:row>
      <xdr:rowOff>152400</xdr:rowOff>
    </xdr:to>
    <xdr:sp macro="" textlink="">
      <xdr:nvSpPr>
        <xdr:cNvPr id="510" name="Diagrama de flujo: conector 509">
          <a:extLst>
            <a:ext uri="{FF2B5EF4-FFF2-40B4-BE49-F238E27FC236}">
              <a16:creationId xmlns:a16="http://schemas.microsoft.com/office/drawing/2014/main" id="{2401964F-4314-4795-A550-31D0FCA56C5F}"/>
            </a:ext>
          </a:extLst>
        </xdr:cNvPr>
        <xdr:cNvSpPr/>
      </xdr:nvSpPr>
      <xdr:spPr>
        <a:xfrm>
          <a:off x="20955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52</xdr:col>
      <xdr:colOff>38100</xdr:colOff>
      <xdr:row>21</xdr:row>
      <xdr:rowOff>47625</xdr:rowOff>
    </xdr:from>
    <xdr:to>
      <xdr:col>52</xdr:col>
      <xdr:colOff>104775</xdr:colOff>
      <xdr:row>21</xdr:row>
      <xdr:rowOff>142875</xdr:rowOff>
    </xdr:to>
    <xdr:sp macro="" textlink="">
      <xdr:nvSpPr>
        <xdr:cNvPr id="512" name="Diagrama de flujo: conector 511">
          <a:extLst>
            <a:ext uri="{FF2B5EF4-FFF2-40B4-BE49-F238E27FC236}">
              <a16:creationId xmlns:a16="http://schemas.microsoft.com/office/drawing/2014/main" id="{38E35E20-EC83-41AA-B66A-7BD2D3D6F05A}"/>
            </a:ext>
          </a:extLst>
        </xdr:cNvPr>
        <xdr:cNvSpPr/>
      </xdr:nvSpPr>
      <xdr:spPr>
        <a:xfrm>
          <a:off x="20955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53</xdr:col>
      <xdr:colOff>38100</xdr:colOff>
      <xdr:row>14</xdr:row>
      <xdr:rowOff>57150</xdr:rowOff>
    </xdr:from>
    <xdr:to>
      <xdr:col>53</xdr:col>
      <xdr:colOff>104775</xdr:colOff>
      <xdr:row>14</xdr:row>
      <xdr:rowOff>152400</xdr:rowOff>
    </xdr:to>
    <xdr:sp macro="" textlink="">
      <xdr:nvSpPr>
        <xdr:cNvPr id="513" name="Diagrama de flujo: conector 512">
          <a:extLst>
            <a:ext uri="{FF2B5EF4-FFF2-40B4-BE49-F238E27FC236}">
              <a16:creationId xmlns:a16="http://schemas.microsoft.com/office/drawing/2014/main" id="{D686A84F-A0FB-4B19-A532-84076DC8129E}"/>
            </a:ext>
          </a:extLst>
        </xdr:cNvPr>
        <xdr:cNvSpPr/>
      </xdr:nvSpPr>
      <xdr:spPr>
        <a:xfrm>
          <a:off x="22288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53</xdr:col>
      <xdr:colOff>38100</xdr:colOff>
      <xdr:row>15</xdr:row>
      <xdr:rowOff>57150</xdr:rowOff>
    </xdr:from>
    <xdr:to>
      <xdr:col>53</xdr:col>
      <xdr:colOff>104775</xdr:colOff>
      <xdr:row>15</xdr:row>
      <xdr:rowOff>152400</xdr:rowOff>
    </xdr:to>
    <xdr:sp macro="" textlink="">
      <xdr:nvSpPr>
        <xdr:cNvPr id="514" name="Diagrama de flujo: conector 513">
          <a:extLst>
            <a:ext uri="{FF2B5EF4-FFF2-40B4-BE49-F238E27FC236}">
              <a16:creationId xmlns:a16="http://schemas.microsoft.com/office/drawing/2014/main" id="{F2BCAB87-EDE5-48A8-8180-8D2B84BD9CEF}"/>
            </a:ext>
          </a:extLst>
        </xdr:cNvPr>
        <xdr:cNvSpPr/>
      </xdr:nvSpPr>
      <xdr:spPr>
        <a:xfrm>
          <a:off x="22288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53</xdr:col>
      <xdr:colOff>38100</xdr:colOff>
      <xdr:row>16</xdr:row>
      <xdr:rowOff>57150</xdr:rowOff>
    </xdr:from>
    <xdr:to>
      <xdr:col>53</xdr:col>
      <xdr:colOff>104775</xdr:colOff>
      <xdr:row>16</xdr:row>
      <xdr:rowOff>152400</xdr:rowOff>
    </xdr:to>
    <xdr:sp macro="" textlink="">
      <xdr:nvSpPr>
        <xdr:cNvPr id="515" name="Diagrama de flujo: conector 514">
          <a:extLst>
            <a:ext uri="{FF2B5EF4-FFF2-40B4-BE49-F238E27FC236}">
              <a16:creationId xmlns:a16="http://schemas.microsoft.com/office/drawing/2014/main" id="{88F82B57-98A7-4745-AEFE-879E47A3D5E1}"/>
            </a:ext>
          </a:extLst>
        </xdr:cNvPr>
        <xdr:cNvSpPr/>
      </xdr:nvSpPr>
      <xdr:spPr>
        <a:xfrm>
          <a:off x="22288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53</xdr:col>
      <xdr:colOff>38100</xdr:colOff>
      <xdr:row>17</xdr:row>
      <xdr:rowOff>57150</xdr:rowOff>
    </xdr:from>
    <xdr:to>
      <xdr:col>53</xdr:col>
      <xdr:colOff>104775</xdr:colOff>
      <xdr:row>17</xdr:row>
      <xdr:rowOff>152400</xdr:rowOff>
    </xdr:to>
    <xdr:sp macro="" textlink="">
      <xdr:nvSpPr>
        <xdr:cNvPr id="516" name="Diagrama de flujo: conector 515">
          <a:extLst>
            <a:ext uri="{FF2B5EF4-FFF2-40B4-BE49-F238E27FC236}">
              <a16:creationId xmlns:a16="http://schemas.microsoft.com/office/drawing/2014/main" id="{EA93D7F4-A949-44F3-BA1C-530FCD254B26}"/>
            </a:ext>
          </a:extLst>
        </xdr:cNvPr>
        <xdr:cNvSpPr/>
      </xdr:nvSpPr>
      <xdr:spPr>
        <a:xfrm>
          <a:off x="22288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53</xdr:col>
      <xdr:colOff>38100</xdr:colOff>
      <xdr:row>18</xdr:row>
      <xdr:rowOff>47625</xdr:rowOff>
    </xdr:from>
    <xdr:to>
      <xdr:col>53</xdr:col>
      <xdr:colOff>104775</xdr:colOff>
      <xdr:row>18</xdr:row>
      <xdr:rowOff>142875</xdr:rowOff>
    </xdr:to>
    <xdr:sp macro="" textlink="">
      <xdr:nvSpPr>
        <xdr:cNvPr id="518" name="Diagrama de flujo: conector 517">
          <a:extLst>
            <a:ext uri="{FF2B5EF4-FFF2-40B4-BE49-F238E27FC236}">
              <a16:creationId xmlns:a16="http://schemas.microsoft.com/office/drawing/2014/main" id="{16FCA6A8-D478-478F-A2CB-4974BBE6217D}"/>
            </a:ext>
          </a:extLst>
        </xdr:cNvPr>
        <xdr:cNvSpPr/>
      </xdr:nvSpPr>
      <xdr:spPr>
        <a:xfrm>
          <a:off x="22288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53</xdr:col>
      <xdr:colOff>38100</xdr:colOff>
      <xdr:row>19</xdr:row>
      <xdr:rowOff>57150</xdr:rowOff>
    </xdr:from>
    <xdr:to>
      <xdr:col>53</xdr:col>
      <xdr:colOff>104775</xdr:colOff>
      <xdr:row>19</xdr:row>
      <xdr:rowOff>152400</xdr:rowOff>
    </xdr:to>
    <xdr:sp macro="" textlink="">
      <xdr:nvSpPr>
        <xdr:cNvPr id="519" name="Diagrama de flujo: conector 518">
          <a:extLst>
            <a:ext uri="{FF2B5EF4-FFF2-40B4-BE49-F238E27FC236}">
              <a16:creationId xmlns:a16="http://schemas.microsoft.com/office/drawing/2014/main" id="{73D63E50-AAFF-4814-9966-B550DC0B2DA6}"/>
            </a:ext>
          </a:extLst>
        </xdr:cNvPr>
        <xdr:cNvSpPr/>
      </xdr:nvSpPr>
      <xdr:spPr>
        <a:xfrm>
          <a:off x="22288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53</xdr:col>
      <xdr:colOff>38100</xdr:colOff>
      <xdr:row>20</xdr:row>
      <xdr:rowOff>57150</xdr:rowOff>
    </xdr:from>
    <xdr:to>
      <xdr:col>53</xdr:col>
      <xdr:colOff>104775</xdr:colOff>
      <xdr:row>20</xdr:row>
      <xdr:rowOff>152400</xdr:rowOff>
    </xdr:to>
    <xdr:sp macro="" textlink="">
      <xdr:nvSpPr>
        <xdr:cNvPr id="520" name="Diagrama de flujo: conector 519">
          <a:extLst>
            <a:ext uri="{FF2B5EF4-FFF2-40B4-BE49-F238E27FC236}">
              <a16:creationId xmlns:a16="http://schemas.microsoft.com/office/drawing/2014/main" id="{4036780A-DAD6-4FA6-8768-627A0A58275B}"/>
            </a:ext>
          </a:extLst>
        </xdr:cNvPr>
        <xdr:cNvSpPr/>
      </xdr:nvSpPr>
      <xdr:spPr>
        <a:xfrm>
          <a:off x="22288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53</xdr:col>
      <xdr:colOff>38100</xdr:colOff>
      <xdr:row>21</xdr:row>
      <xdr:rowOff>47625</xdr:rowOff>
    </xdr:from>
    <xdr:to>
      <xdr:col>53</xdr:col>
      <xdr:colOff>104775</xdr:colOff>
      <xdr:row>21</xdr:row>
      <xdr:rowOff>142875</xdr:rowOff>
    </xdr:to>
    <xdr:sp macro="" textlink="">
      <xdr:nvSpPr>
        <xdr:cNvPr id="522" name="Diagrama de flujo: conector 521">
          <a:extLst>
            <a:ext uri="{FF2B5EF4-FFF2-40B4-BE49-F238E27FC236}">
              <a16:creationId xmlns:a16="http://schemas.microsoft.com/office/drawing/2014/main" id="{F2A782A2-1449-407A-9AD7-1FEF4D0FFD5D}"/>
            </a:ext>
          </a:extLst>
        </xdr:cNvPr>
        <xdr:cNvSpPr/>
      </xdr:nvSpPr>
      <xdr:spPr>
        <a:xfrm>
          <a:off x="22288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54</xdr:col>
      <xdr:colOff>38100</xdr:colOff>
      <xdr:row>14</xdr:row>
      <xdr:rowOff>57150</xdr:rowOff>
    </xdr:from>
    <xdr:to>
      <xdr:col>54</xdr:col>
      <xdr:colOff>104775</xdr:colOff>
      <xdr:row>14</xdr:row>
      <xdr:rowOff>152400</xdr:rowOff>
    </xdr:to>
    <xdr:sp macro="" textlink="">
      <xdr:nvSpPr>
        <xdr:cNvPr id="523" name="Diagrama de flujo: conector 522">
          <a:extLst>
            <a:ext uri="{FF2B5EF4-FFF2-40B4-BE49-F238E27FC236}">
              <a16:creationId xmlns:a16="http://schemas.microsoft.com/office/drawing/2014/main" id="{5C1CBB42-145C-492B-87D3-187D8A26A3D0}"/>
            </a:ext>
          </a:extLst>
        </xdr:cNvPr>
        <xdr:cNvSpPr/>
      </xdr:nvSpPr>
      <xdr:spPr>
        <a:xfrm>
          <a:off x="23622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54</xdr:col>
      <xdr:colOff>38100</xdr:colOff>
      <xdr:row>15</xdr:row>
      <xdr:rowOff>57150</xdr:rowOff>
    </xdr:from>
    <xdr:to>
      <xdr:col>54</xdr:col>
      <xdr:colOff>104775</xdr:colOff>
      <xdr:row>15</xdr:row>
      <xdr:rowOff>152400</xdr:rowOff>
    </xdr:to>
    <xdr:sp macro="" textlink="">
      <xdr:nvSpPr>
        <xdr:cNvPr id="524" name="Diagrama de flujo: conector 523">
          <a:extLst>
            <a:ext uri="{FF2B5EF4-FFF2-40B4-BE49-F238E27FC236}">
              <a16:creationId xmlns:a16="http://schemas.microsoft.com/office/drawing/2014/main" id="{4BC960FB-4C70-47D0-97AE-034DA4B6D9F3}"/>
            </a:ext>
          </a:extLst>
        </xdr:cNvPr>
        <xdr:cNvSpPr/>
      </xdr:nvSpPr>
      <xdr:spPr>
        <a:xfrm>
          <a:off x="23622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54</xdr:col>
      <xdr:colOff>38100</xdr:colOff>
      <xdr:row>16</xdr:row>
      <xdr:rowOff>57150</xdr:rowOff>
    </xdr:from>
    <xdr:to>
      <xdr:col>54</xdr:col>
      <xdr:colOff>104775</xdr:colOff>
      <xdr:row>16</xdr:row>
      <xdr:rowOff>152400</xdr:rowOff>
    </xdr:to>
    <xdr:sp macro="" textlink="">
      <xdr:nvSpPr>
        <xdr:cNvPr id="525" name="Diagrama de flujo: conector 524">
          <a:extLst>
            <a:ext uri="{FF2B5EF4-FFF2-40B4-BE49-F238E27FC236}">
              <a16:creationId xmlns:a16="http://schemas.microsoft.com/office/drawing/2014/main" id="{A230E664-5D0D-426A-A23B-C7B95201DABA}"/>
            </a:ext>
          </a:extLst>
        </xdr:cNvPr>
        <xdr:cNvSpPr/>
      </xdr:nvSpPr>
      <xdr:spPr>
        <a:xfrm>
          <a:off x="23622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54</xdr:col>
      <xdr:colOff>38100</xdr:colOff>
      <xdr:row>17</xdr:row>
      <xdr:rowOff>57150</xdr:rowOff>
    </xdr:from>
    <xdr:to>
      <xdr:col>54</xdr:col>
      <xdr:colOff>104775</xdr:colOff>
      <xdr:row>17</xdr:row>
      <xdr:rowOff>152400</xdr:rowOff>
    </xdr:to>
    <xdr:sp macro="" textlink="">
      <xdr:nvSpPr>
        <xdr:cNvPr id="526" name="Diagrama de flujo: conector 525">
          <a:extLst>
            <a:ext uri="{FF2B5EF4-FFF2-40B4-BE49-F238E27FC236}">
              <a16:creationId xmlns:a16="http://schemas.microsoft.com/office/drawing/2014/main" id="{15F77474-7C13-45FF-B556-F920BB45B783}"/>
            </a:ext>
          </a:extLst>
        </xdr:cNvPr>
        <xdr:cNvSpPr/>
      </xdr:nvSpPr>
      <xdr:spPr>
        <a:xfrm>
          <a:off x="23622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54</xdr:col>
      <xdr:colOff>38100</xdr:colOff>
      <xdr:row>18</xdr:row>
      <xdr:rowOff>47625</xdr:rowOff>
    </xdr:from>
    <xdr:to>
      <xdr:col>54</xdr:col>
      <xdr:colOff>104775</xdr:colOff>
      <xdr:row>18</xdr:row>
      <xdr:rowOff>142875</xdr:rowOff>
    </xdr:to>
    <xdr:sp macro="" textlink="">
      <xdr:nvSpPr>
        <xdr:cNvPr id="528" name="Diagrama de flujo: conector 527">
          <a:extLst>
            <a:ext uri="{FF2B5EF4-FFF2-40B4-BE49-F238E27FC236}">
              <a16:creationId xmlns:a16="http://schemas.microsoft.com/office/drawing/2014/main" id="{12D6A9E9-A36D-43C0-9D39-600F9FE3B70E}"/>
            </a:ext>
          </a:extLst>
        </xdr:cNvPr>
        <xdr:cNvSpPr/>
      </xdr:nvSpPr>
      <xdr:spPr>
        <a:xfrm>
          <a:off x="23622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54</xdr:col>
      <xdr:colOff>38100</xdr:colOff>
      <xdr:row>19</xdr:row>
      <xdr:rowOff>57150</xdr:rowOff>
    </xdr:from>
    <xdr:to>
      <xdr:col>54</xdr:col>
      <xdr:colOff>104775</xdr:colOff>
      <xdr:row>19</xdr:row>
      <xdr:rowOff>152400</xdr:rowOff>
    </xdr:to>
    <xdr:sp macro="" textlink="">
      <xdr:nvSpPr>
        <xdr:cNvPr id="529" name="Diagrama de flujo: conector 528">
          <a:extLst>
            <a:ext uri="{FF2B5EF4-FFF2-40B4-BE49-F238E27FC236}">
              <a16:creationId xmlns:a16="http://schemas.microsoft.com/office/drawing/2014/main" id="{C0E8BD05-119E-4B84-AD02-5F2616353199}"/>
            </a:ext>
          </a:extLst>
        </xdr:cNvPr>
        <xdr:cNvSpPr/>
      </xdr:nvSpPr>
      <xdr:spPr>
        <a:xfrm>
          <a:off x="23622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54</xdr:col>
      <xdr:colOff>38100</xdr:colOff>
      <xdr:row>20</xdr:row>
      <xdr:rowOff>57150</xdr:rowOff>
    </xdr:from>
    <xdr:to>
      <xdr:col>54</xdr:col>
      <xdr:colOff>104775</xdr:colOff>
      <xdr:row>20</xdr:row>
      <xdr:rowOff>152400</xdr:rowOff>
    </xdr:to>
    <xdr:sp macro="" textlink="">
      <xdr:nvSpPr>
        <xdr:cNvPr id="530" name="Diagrama de flujo: conector 529">
          <a:extLst>
            <a:ext uri="{FF2B5EF4-FFF2-40B4-BE49-F238E27FC236}">
              <a16:creationId xmlns:a16="http://schemas.microsoft.com/office/drawing/2014/main" id="{FBB906EA-FF4E-4D61-8CB3-6AA1D2E362E6}"/>
            </a:ext>
          </a:extLst>
        </xdr:cNvPr>
        <xdr:cNvSpPr/>
      </xdr:nvSpPr>
      <xdr:spPr>
        <a:xfrm>
          <a:off x="23622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54</xdr:col>
      <xdr:colOff>38100</xdr:colOff>
      <xdr:row>21</xdr:row>
      <xdr:rowOff>47625</xdr:rowOff>
    </xdr:from>
    <xdr:to>
      <xdr:col>54</xdr:col>
      <xdr:colOff>104775</xdr:colOff>
      <xdr:row>21</xdr:row>
      <xdr:rowOff>142875</xdr:rowOff>
    </xdr:to>
    <xdr:sp macro="" textlink="">
      <xdr:nvSpPr>
        <xdr:cNvPr id="532" name="Diagrama de flujo: conector 531">
          <a:extLst>
            <a:ext uri="{FF2B5EF4-FFF2-40B4-BE49-F238E27FC236}">
              <a16:creationId xmlns:a16="http://schemas.microsoft.com/office/drawing/2014/main" id="{D1553E05-609C-4756-8961-6D79B5BE77A9}"/>
            </a:ext>
          </a:extLst>
        </xdr:cNvPr>
        <xdr:cNvSpPr/>
      </xdr:nvSpPr>
      <xdr:spPr>
        <a:xfrm>
          <a:off x="23622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55</xdr:col>
      <xdr:colOff>38100</xdr:colOff>
      <xdr:row>14</xdr:row>
      <xdr:rowOff>57150</xdr:rowOff>
    </xdr:from>
    <xdr:to>
      <xdr:col>55</xdr:col>
      <xdr:colOff>104775</xdr:colOff>
      <xdr:row>14</xdr:row>
      <xdr:rowOff>152400</xdr:rowOff>
    </xdr:to>
    <xdr:sp macro="" textlink="">
      <xdr:nvSpPr>
        <xdr:cNvPr id="533" name="Diagrama de flujo: conector 532">
          <a:extLst>
            <a:ext uri="{FF2B5EF4-FFF2-40B4-BE49-F238E27FC236}">
              <a16:creationId xmlns:a16="http://schemas.microsoft.com/office/drawing/2014/main" id="{8FDF94FB-0972-412E-A97F-1ECB45CA32D1}"/>
            </a:ext>
          </a:extLst>
        </xdr:cNvPr>
        <xdr:cNvSpPr/>
      </xdr:nvSpPr>
      <xdr:spPr>
        <a:xfrm>
          <a:off x="24955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55</xdr:col>
      <xdr:colOff>38100</xdr:colOff>
      <xdr:row>15</xdr:row>
      <xdr:rowOff>57150</xdr:rowOff>
    </xdr:from>
    <xdr:to>
      <xdr:col>55</xdr:col>
      <xdr:colOff>104775</xdr:colOff>
      <xdr:row>15</xdr:row>
      <xdr:rowOff>152400</xdr:rowOff>
    </xdr:to>
    <xdr:sp macro="" textlink="">
      <xdr:nvSpPr>
        <xdr:cNvPr id="534" name="Diagrama de flujo: conector 533">
          <a:extLst>
            <a:ext uri="{FF2B5EF4-FFF2-40B4-BE49-F238E27FC236}">
              <a16:creationId xmlns:a16="http://schemas.microsoft.com/office/drawing/2014/main" id="{7515E04A-4ADF-470B-8E1E-F869AC2F4179}"/>
            </a:ext>
          </a:extLst>
        </xdr:cNvPr>
        <xdr:cNvSpPr/>
      </xdr:nvSpPr>
      <xdr:spPr>
        <a:xfrm>
          <a:off x="24955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55</xdr:col>
      <xdr:colOff>38100</xdr:colOff>
      <xdr:row>16</xdr:row>
      <xdr:rowOff>57150</xdr:rowOff>
    </xdr:from>
    <xdr:to>
      <xdr:col>55</xdr:col>
      <xdr:colOff>104775</xdr:colOff>
      <xdr:row>16</xdr:row>
      <xdr:rowOff>152400</xdr:rowOff>
    </xdr:to>
    <xdr:sp macro="" textlink="">
      <xdr:nvSpPr>
        <xdr:cNvPr id="535" name="Diagrama de flujo: conector 534">
          <a:extLst>
            <a:ext uri="{FF2B5EF4-FFF2-40B4-BE49-F238E27FC236}">
              <a16:creationId xmlns:a16="http://schemas.microsoft.com/office/drawing/2014/main" id="{0A61EE65-8AE0-4426-A271-7E8E9927DEF1}"/>
            </a:ext>
          </a:extLst>
        </xdr:cNvPr>
        <xdr:cNvSpPr/>
      </xdr:nvSpPr>
      <xdr:spPr>
        <a:xfrm>
          <a:off x="24955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55</xdr:col>
      <xdr:colOff>38100</xdr:colOff>
      <xdr:row>17</xdr:row>
      <xdr:rowOff>57150</xdr:rowOff>
    </xdr:from>
    <xdr:to>
      <xdr:col>55</xdr:col>
      <xdr:colOff>104775</xdr:colOff>
      <xdr:row>17</xdr:row>
      <xdr:rowOff>152400</xdr:rowOff>
    </xdr:to>
    <xdr:sp macro="" textlink="">
      <xdr:nvSpPr>
        <xdr:cNvPr id="536" name="Diagrama de flujo: conector 535">
          <a:extLst>
            <a:ext uri="{FF2B5EF4-FFF2-40B4-BE49-F238E27FC236}">
              <a16:creationId xmlns:a16="http://schemas.microsoft.com/office/drawing/2014/main" id="{F0C13547-AA88-4BCD-A63D-3827295AD134}"/>
            </a:ext>
          </a:extLst>
        </xdr:cNvPr>
        <xdr:cNvSpPr/>
      </xdr:nvSpPr>
      <xdr:spPr>
        <a:xfrm>
          <a:off x="24955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55</xdr:col>
      <xdr:colOff>38100</xdr:colOff>
      <xdr:row>18</xdr:row>
      <xdr:rowOff>47625</xdr:rowOff>
    </xdr:from>
    <xdr:to>
      <xdr:col>55</xdr:col>
      <xdr:colOff>104775</xdr:colOff>
      <xdr:row>18</xdr:row>
      <xdr:rowOff>142875</xdr:rowOff>
    </xdr:to>
    <xdr:sp macro="" textlink="">
      <xdr:nvSpPr>
        <xdr:cNvPr id="538" name="Diagrama de flujo: conector 537">
          <a:extLst>
            <a:ext uri="{FF2B5EF4-FFF2-40B4-BE49-F238E27FC236}">
              <a16:creationId xmlns:a16="http://schemas.microsoft.com/office/drawing/2014/main" id="{A4E77050-734F-4F0C-94F1-57E35F2BB93A}"/>
            </a:ext>
          </a:extLst>
        </xdr:cNvPr>
        <xdr:cNvSpPr/>
      </xdr:nvSpPr>
      <xdr:spPr>
        <a:xfrm>
          <a:off x="24955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55</xdr:col>
      <xdr:colOff>38100</xdr:colOff>
      <xdr:row>19</xdr:row>
      <xdr:rowOff>57150</xdr:rowOff>
    </xdr:from>
    <xdr:to>
      <xdr:col>55</xdr:col>
      <xdr:colOff>104775</xdr:colOff>
      <xdr:row>19</xdr:row>
      <xdr:rowOff>152400</xdr:rowOff>
    </xdr:to>
    <xdr:sp macro="" textlink="">
      <xdr:nvSpPr>
        <xdr:cNvPr id="539" name="Diagrama de flujo: conector 538">
          <a:extLst>
            <a:ext uri="{FF2B5EF4-FFF2-40B4-BE49-F238E27FC236}">
              <a16:creationId xmlns:a16="http://schemas.microsoft.com/office/drawing/2014/main" id="{4E885370-2C57-4ECC-BD67-7C279A83A713}"/>
            </a:ext>
          </a:extLst>
        </xdr:cNvPr>
        <xdr:cNvSpPr/>
      </xdr:nvSpPr>
      <xdr:spPr>
        <a:xfrm>
          <a:off x="24955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55</xdr:col>
      <xdr:colOff>38100</xdr:colOff>
      <xdr:row>20</xdr:row>
      <xdr:rowOff>57150</xdr:rowOff>
    </xdr:from>
    <xdr:to>
      <xdr:col>55</xdr:col>
      <xdr:colOff>104775</xdr:colOff>
      <xdr:row>20</xdr:row>
      <xdr:rowOff>152400</xdr:rowOff>
    </xdr:to>
    <xdr:sp macro="" textlink="">
      <xdr:nvSpPr>
        <xdr:cNvPr id="540" name="Diagrama de flujo: conector 539">
          <a:extLst>
            <a:ext uri="{FF2B5EF4-FFF2-40B4-BE49-F238E27FC236}">
              <a16:creationId xmlns:a16="http://schemas.microsoft.com/office/drawing/2014/main" id="{4BEA40F0-C0A8-4D66-A444-857752A07026}"/>
            </a:ext>
          </a:extLst>
        </xdr:cNvPr>
        <xdr:cNvSpPr/>
      </xdr:nvSpPr>
      <xdr:spPr>
        <a:xfrm>
          <a:off x="24955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55</xdr:col>
      <xdr:colOff>38100</xdr:colOff>
      <xdr:row>21</xdr:row>
      <xdr:rowOff>47625</xdr:rowOff>
    </xdr:from>
    <xdr:to>
      <xdr:col>55</xdr:col>
      <xdr:colOff>104775</xdr:colOff>
      <xdr:row>21</xdr:row>
      <xdr:rowOff>142875</xdr:rowOff>
    </xdr:to>
    <xdr:sp macro="" textlink="">
      <xdr:nvSpPr>
        <xdr:cNvPr id="542" name="Diagrama de flujo: conector 541">
          <a:extLst>
            <a:ext uri="{FF2B5EF4-FFF2-40B4-BE49-F238E27FC236}">
              <a16:creationId xmlns:a16="http://schemas.microsoft.com/office/drawing/2014/main" id="{1CD591B8-69BD-4A8B-B210-0429D3874BFB}"/>
            </a:ext>
          </a:extLst>
        </xdr:cNvPr>
        <xdr:cNvSpPr/>
      </xdr:nvSpPr>
      <xdr:spPr>
        <a:xfrm>
          <a:off x="24955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56</xdr:col>
      <xdr:colOff>38100</xdr:colOff>
      <xdr:row>14</xdr:row>
      <xdr:rowOff>57150</xdr:rowOff>
    </xdr:from>
    <xdr:to>
      <xdr:col>56</xdr:col>
      <xdr:colOff>104775</xdr:colOff>
      <xdr:row>14</xdr:row>
      <xdr:rowOff>152400</xdr:rowOff>
    </xdr:to>
    <xdr:sp macro="" textlink="">
      <xdr:nvSpPr>
        <xdr:cNvPr id="543" name="Diagrama de flujo: conector 542">
          <a:extLst>
            <a:ext uri="{FF2B5EF4-FFF2-40B4-BE49-F238E27FC236}">
              <a16:creationId xmlns:a16="http://schemas.microsoft.com/office/drawing/2014/main" id="{1C41DAC1-0F12-4DC5-8ACB-B6F603453735}"/>
            </a:ext>
          </a:extLst>
        </xdr:cNvPr>
        <xdr:cNvSpPr/>
      </xdr:nvSpPr>
      <xdr:spPr>
        <a:xfrm>
          <a:off x="26289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56</xdr:col>
      <xdr:colOff>38100</xdr:colOff>
      <xdr:row>15</xdr:row>
      <xdr:rowOff>57150</xdr:rowOff>
    </xdr:from>
    <xdr:to>
      <xdr:col>56</xdr:col>
      <xdr:colOff>104775</xdr:colOff>
      <xdr:row>15</xdr:row>
      <xdr:rowOff>152400</xdr:rowOff>
    </xdr:to>
    <xdr:sp macro="" textlink="">
      <xdr:nvSpPr>
        <xdr:cNvPr id="544" name="Diagrama de flujo: conector 543">
          <a:extLst>
            <a:ext uri="{FF2B5EF4-FFF2-40B4-BE49-F238E27FC236}">
              <a16:creationId xmlns:a16="http://schemas.microsoft.com/office/drawing/2014/main" id="{1766E5E5-FB25-4DFA-9051-808EE8603599}"/>
            </a:ext>
          </a:extLst>
        </xdr:cNvPr>
        <xdr:cNvSpPr/>
      </xdr:nvSpPr>
      <xdr:spPr>
        <a:xfrm>
          <a:off x="26289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56</xdr:col>
      <xdr:colOff>38100</xdr:colOff>
      <xdr:row>16</xdr:row>
      <xdr:rowOff>57150</xdr:rowOff>
    </xdr:from>
    <xdr:to>
      <xdr:col>56</xdr:col>
      <xdr:colOff>104775</xdr:colOff>
      <xdr:row>16</xdr:row>
      <xdr:rowOff>152400</xdr:rowOff>
    </xdr:to>
    <xdr:sp macro="" textlink="">
      <xdr:nvSpPr>
        <xdr:cNvPr id="545" name="Diagrama de flujo: conector 544">
          <a:extLst>
            <a:ext uri="{FF2B5EF4-FFF2-40B4-BE49-F238E27FC236}">
              <a16:creationId xmlns:a16="http://schemas.microsoft.com/office/drawing/2014/main" id="{498CA07C-B619-4183-8B95-67B337A8793F}"/>
            </a:ext>
          </a:extLst>
        </xdr:cNvPr>
        <xdr:cNvSpPr/>
      </xdr:nvSpPr>
      <xdr:spPr>
        <a:xfrm>
          <a:off x="26289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56</xdr:col>
      <xdr:colOff>38100</xdr:colOff>
      <xdr:row>17</xdr:row>
      <xdr:rowOff>57150</xdr:rowOff>
    </xdr:from>
    <xdr:to>
      <xdr:col>56</xdr:col>
      <xdr:colOff>104775</xdr:colOff>
      <xdr:row>17</xdr:row>
      <xdr:rowOff>152400</xdr:rowOff>
    </xdr:to>
    <xdr:sp macro="" textlink="">
      <xdr:nvSpPr>
        <xdr:cNvPr id="546" name="Diagrama de flujo: conector 545">
          <a:extLst>
            <a:ext uri="{FF2B5EF4-FFF2-40B4-BE49-F238E27FC236}">
              <a16:creationId xmlns:a16="http://schemas.microsoft.com/office/drawing/2014/main" id="{0D4F3426-46BF-4803-96E2-1656C96C7323}"/>
            </a:ext>
          </a:extLst>
        </xdr:cNvPr>
        <xdr:cNvSpPr/>
      </xdr:nvSpPr>
      <xdr:spPr>
        <a:xfrm>
          <a:off x="26289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56</xdr:col>
      <xdr:colOff>38100</xdr:colOff>
      <xdr:row>18</xdr:row>
      <xdr:rowOff>47625</xdr:rowOff>
    </xdr:from>
    <xdr:to>
      <xdr:col>56</xdr:col>
      <xdr:colOff>104775</xdr:colOff>
      <xdr:row>18</xdr:row>
      <xdr:rowOff>142875</xdr:rowOff>
    </xdr:to>
    <xdr:sp macro="" textlink="">
      <xdr:nvSpPr>
        <xdr:cNvPr id="548" name="Diagrama de flujo: conector 547">
          <a:extLst>
            <a:ext uri="{FF2B5EF4-FFF2-40B4-BE49-F238E27FC236}">
              <a16:creationId xmlns:a16="http://schemas.microsoft.com/office/drawing/2014/main" id="{E09B2F0A-97AB-4B2F-B1B0-1E4BA04C33A3}"/>
            </a:ext>
          </a:extLst>
        </xdr:cNvPr>
        <xdr:cNvSpPr/>
      </xdr:nvSpPr>
      <xdr:spPr>
        <a:xfrm>
          <a:off x="26289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56</xdr:col>
      <xdr:colOff>38100</xdr:colOff>
      <xdr:row>19</xdr:row>
      <xdr:rowOff>57150</xdr:rowOff>
    </xdr:from>
    <xdr:to>
      <xdr:col>56</xdr:col>
      <xdr:colOff>104775</xdr:colOff>
      <xdr:row>19</xdr:row>
      <xdr:rowOff>152400</xdr:rowOff>
    </xdr:to>
    <xdr:sp macro="" textlink="">
      <xdr:nvSpPr>
        <xdr:cNvPr id="549" name="Diagrama de flujo: conector 548">
          <a:extLst>
            <a:ext uri="{FF2B5EF4-FFF2-40B4-BE49-F238E27FC236}">
              <a16:creationId xmlns:a16="http://schemas.microsoft.com/office/drawing/2014/main" id="{5A2EDFCD-9EDD-44AC-AF0F-FF5304E47974}"/>
            </a:ext>
          </a:extLst>
        </xdr:cNvPr>
        <xdr:cNvSpPr/>
      </xdr:nvSpPr>
      <xdr:spPr>
        <a:xfrm>
          <a:off x="26289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56</xdr:col>
      <xdr:colOff>38100</xdr:colOff>
      <xdr:row>20</xdr:row>
      <xdr:rowOff>57150</xdr:rowOff>
    </xdr:from>
    <xdr:to>
      <xdr:col>56</xdr:col>
      <xdr:colOff>104775</xdr:colOff>
      <xdr:row>20</xdr:row>
      <xdr:rowOff>152400</xdr:rowOff>
    </xdr:to>
    <xdr:sp macro="" textlink="">
      <xdr:nvSpPr>
        <xdr:cNvPr id="550" name="Diagrama de flujo: conector 549">
          <a:extLst>
            <a:ext uri="{FF2B5EF4-FFF2-40B4-BE49-F238E27FC236}">
              <a16:creationId xmlns:a16="http://schemas.microsoft.com/office/drawing/2014/main" id="{F3FFC996-6B45-4DF3-82AC-47A552191B8A}"/>
            </a:ext>
          </a:extLst>
        </xdr:cNvPr>
        <xdr:cNvSpPr/>
      </xdr:nvSpPr>
      <xdr:spPr>
        <a:xfrm>
          <a:off x="26289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56</xdr:col>
      <xdr:colOff>38100</xdr:colOff>
      <xdr:row>21</xdr:row>
      <xdr:rowOff>47625</xdr:rowOff>
    </xdr:from>
    <xdr:to>
      <xdr:col>56</xdr:col>
      <xdr:colOff>104775</xdr:colOff>
      <xdr:row>21</xdr:row>
      <xdr:rowOff>142875</xdr:rowOff>
    </xdr:to>
    <xdr:sp macro="" textlink="">
      <xdr:nvSpPr>
        <xdr:cNvPr id="552" name="Diagrama de flujo: conector 551">
          <a:extLst>
            <a:ext uri="{FF2B5EF4-FFF2-40B4-BE49-F238E27FC236}">
              <a16:creationId xmlns:a16="http://schemas.microsoft.com/office/drawing/2014/main" id="{0E88DD2E-1947-4CEB-8B40-DD4237C92FD6}"/>
            </a:ext>
          </a:extLst>
        </xdr:cNvPr>
        <xdr:cNvSpPr/>
      </xdr:nvSpPr>
      <xdr:spPr>
        <a:xfrm>
          <a:off x="26289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57</xdr:col>
      <xdr:colOff>38100</xdr:colOff>
      <xdr:row>14</xdr:row>
      <xdr:rowOff>57150</xdr:rowOff>
    </xdr:from>
    <xdr:to>
      <xdr:col>57</xdr:col>
      <xdr:colOff>104775</xdr:colOff>
      <xdr:row>14</xdr:row>
      <xdr:rowOff>152400</xdr:rowOff>
    </xdr:to>
    <xdr:sp macro="" textlink="">
      <xdr:nvSpPr>
        <xdr:cNvPr id="553" name="Diagrama de flujo: conector 552">
          <a:extLst>
            <a:ext uri="{FF2B5EF4-FFF2-40B4-BE49-F238E27FC236}">
              <a16:creationId xmlns:a16="http://schemas.microsoft.com/office/drawing/2014/main" id="{A26DCF5B-4580-4CD8-B98C-67E9E8BC0546}"/>
            </a:ext>
          </a:extLst>
        </xdr:cNvPr>
        <xdr:cNvSpPr/>
      </xdr:nvSpPr>
      <xdr:spPr>
        <a:xfrm>
          <a:off x="27622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57</xdr:col>
      <xdr:colOff>38100</xdr:colOff>
      <xdr:row>15</xdr:row>
      <xdr:rowOff>57150</xdr:rowOff>
    </xdr:from>
    <xdr:to>
      <xdr:col>57</xdr:col>
      <xdr:colOff>104775</xdr:colOff>
      <xdr:row>15</xdr:row>
      <xdr:rowOff>152400</xdr:rowOff>
    </xdr:to>
    <xdr:sp macro="" textlink="">
      <xdr:nvSpPr>
        <xdr:cNvPr id="554" name="Diagrama de flujo: conector 553">
          <a:extLst>
            <a:ext uri="{FF2B5EF4-FFF2-40B4-BE49-F238E27FC236}">
              <a16:creationId xmlns:a16="http://schemas.microsoft.com/office/drawing/2014/main" id="{6905DA20-50E3-482D-81AF-E50A35BFC6B4}"/>
            </a:ext>
          </a:extLst>
        </xdr:cNvPr>
        <xdr:cNvSpPr/>
      </xdr:nvSpPr>
      <xdr:spPr>
        <a:xfrm>
          <a:off x="27622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57</xdr:col>
      <xdr:colOff>38100</xdr:colOff>
      <xdr:row>16</xdr:row>
      <xdr:rowOff>57150</xdr:rowOff>
    </xdr:from>
    <xdr:to>
      <xdr:col>57</xdr:col>
      <xdr:colOff>104775</xdr:colOff>
      <xdr:row>16</xdr:row>
      <xdr:rowOff>152400</xdr:rowOff>
    </xdr:to>
    <xdr:sp macro="" textlink="">
      <xdr:nvSpPr>
        <xdr:cNvPr id="555" name="Diagrama de flujo: conector 554">
          <a:extLst>
            <a:ext uri="{FF2B5EF4-FFF2-40B4-BE49-F238E27FC236}">
              <a16:creationId xmlns:a16="http://schemas.microsoft.com/office/drawing/2014/main" id="{BFC6FD72-23EF-48AE-A7A8-0E639439300B}"/>
            </a:ext>
          </a:extLst>
        </xdr:cNvPr>
        <xdr:cNvSpPr/>
      </xdr:nvSpPr>
      <xdr:spPr>
        <a:xfrm>
          <a:off x="27622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57</xdr:col>
      <xdr:colOff>38100</xdr:colOff>
      <xdr:row>17</xdr:row>
      <xdr:rowOff>57150</xdr:rowOff>
    </xdr:from>
    <xdr:to>
      <xdr:col>57</xdr:col>
      <xdr:colOff>104775</xdr:colOff>
      <xdr:row>17</xdr:row>
      <xdr:rowOff>152400</xdr:rowOff>
    </xdr:to>
    <xdr:sp macro="" textlink="">
      <xdr:nvSpPr>
        <xdr:cNvPr id="556" name="Diagrama de flujo: conector 555">
          <a:extLst>
            <a:ext uri="{FF2B5EF4-FFF2-40B4-BE49-F238E27FC236}">
              <a16:creationId xmlns:a16="http://schemas.microsoft.com/office/drawing/2014/main" id="{373AE696-52CC-42A7-83F3-3B3B4B82803F}"/>
            </a:ext>
          </a:extLst>
        </xdr:cNvPr>
        <xdr:cNvSpPr/>
      </xdr:nvSpPr>
      <xdr:spPr>
        <a:xfrm>
          <a:off x="27622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57</xdr:col>
      <xdr:colOff>38100</xdr:colOff>
      <xdr:row>18</xdr:row>
      <xdr:rowOff>47625</xdr:rowOff>
    </xdr:from>
    <xdr:to>
      <xdr:col>57</xdr:col>
      <xdr:colOff>104775</xdr:colOff>
      <xdr:row>18</xdr:row>
      <xdr:rowOff>142875</xdr:rowOff>
    </xdr:to>
    <xdr:sp macro="" textlink="">
      <xdr:nvSpPr>
        <xdr:cNvPr id="558" name="Diagrama de flujo: conector 557">
          <a:extLst>
            <a:ext uri="{FF2B5EF4-FFF2-40B4-BE49-F238E27FC236}">
              <a16:creationId xmlns:a16="http://schemas.microsoft.com/office/drawing/2014/main" id="{BBE9B0BC-2FAE-477B-809E-70FC27D2B909}"/>
            </a:ext>
          </a:extLst>
        </xdr:cNvPr>
        <xdr:cNvSpPr/>
      </xdr:nvSpPr>
      <xdr:spPr>
        <a:xfrm>
          <a:off x="27622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57</xdr:col>
      <xdr:colOff>38100</xdr:colOff>
      <xdr:row>19</xdr:row>
      <xdr:rowOff>57150</xdr:rowOff>
    </xdr:from>
    <xdr:to>
      <xdr:col>57</xdr:col>
      <xdr:colOff>104775</xdr:colOff>
      <xdr:row>19</xdr:row>
      <xdr:rowOff>152400</xdr:rowOff>
    </xdr:to>
    <xdr:sp macro="" textlink="">
      <xdr:nvSpPr>
        <xdr:cNvPr id="559" name="Diagrama de flujo: conector 558">
          <a:extLst>
            <a:ext uri="{FF2B5EF4-FFF2-40B4-BE49-F238E27FC236}">
              <a16:creationId xmlns:a16="http://schemas.microsoft.com/office/drawing/2014/main" id="{6881EDA7-503B-4BD8-9149-497CEFF2DA54}"/>
            </a:ext>
          </a:extLst>
        </xdr:cNvPr>
        <xdr:cNvSpPr/>
      </xdr:nvSpPr>
      <xdr:spPr>
        <a:xfrm>
          <a:off x="27622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57</xdr:col>
      <xdr:colOff>38100</xdr:colOff>
      <xdr:row>20</xdr:row>
      <xdr:rowOff>57150</xdr:rowOff>
    </xdr:from>
    <xdr:to>
      <xdr:col>57</xdr:col>
      <xdr:colOff>104775</xdr:colOff>
      <xdr:row>20</xdr:row>
      <xdr:rowOff>152400</xdr:rowOff>
    </xdr:to>
    <xdr:sp macro="" textlink="">
      <xdr:nvSpPr>
        <xdr:cNvPr id="560" name="Diagrama de flujo: conector 559">
          <a:extLst>
            <a:ext uri="{FF2B5EF4-FFF2-40B4-BE49-F238E27FC236}">
              <a16:creationId xmlns:a16="http://schemas.microsoft.com/office/drawing/2014/main" id="{50A05502-9B89-45B7-9014-24E11716D74E}"/>
            </a:ext>
          </a:extLst>
        </xdr:cNvPr>
        <xdr:cNvSpPr/>
      </xdr:nvSpPr>
      <xdr:spPr>
        <a:xfrm>
          <a:off x="27622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57</xdr:col>
      <xdr:colOff>38100</xdr:colOff>
      <xdr:row>21</xdr:row>
      <xdr:rowOff>47625</xdr:rowOff>
    </xdr:from>
    <xdr:to>
      <xdr:col>57</xdr:col>
      <xdr:colOff>104775</xdr:colOff>
      <xdr:row>21</xdr:row>
      <xdr:rowOff>142875</xdr:rowOff>
    </xdr:to>
    <xdr:sp macro="" textlink="">
      <xdr:nvSpPr>
        <xdr:cNvPr id="562" name="Diagrama de flujo: conector 561">
          <a:extLst>
            <a:ext uri="{FF2B5EF4-FFF2-40B4-BE49-F238E27FC236}">
              <a16:creationId xmlns:a16="http://schemas.microsoft.com/office/drawing/2014/main" id="{AB1D9D80-C09A-4B30-A9FC-94463CF9B5FD}"/>
            </a:ext>
          </a:extLst>
        </xdr:cNvPr>
        <xdr:cNvSpPr/>
      </xdr:nvSpPr>
      <xdr:spPr>
        <a:xfrm>
          <a:off x="27622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58</xdr:col>
      <xdr:colOff>38100</xdr:colOff>
      <xdr:row>14</xdr:row>
      <xdr:rowOff>57150</xdr:rowOff>
    </xdr:from>
    <xdr:to>
      <xdr:col>58</xdr:col>
      <xdr:colOff>104775</xdr:colOff>
      <xdr:row>14</xdr:row>
      <xdr:rowOff>152400</xdr:rowOff>
    </xdr:to>
    <xdr:sp macro="" textlink="">
      <xdr:nvSpPr>
        <xdr:cNvPr id="563" name="Diagrama de flujo: conector 562">
          <a:extLst>
            <a:ext uri="{FF2B5EF4-FFF2-40B4-BE49-F238E27FC236}">
              <a16:creationId xmlns:a16="http://schemas.microsoft.com/office/drawing/2014/main" id="{96B0CFDB-80D5-40A2-9A8B-71718CA8E280}"/>
            </a:ext>
          </a:extLst>
        </xdr:cNvPr>
        <xdr:cNvSpPr/>
      </xdr:nvSpPr>
      <xdr:spPr>
        <a:xfrm>
          <a:off x="28956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58</xdr:col>
      <xdr:colOff>38100</xdr:colOff>
      <xdr:row>15</xdr:row>
      <xdr:rowOff>57150</xdr:rowOff>
    </xdr:from>
    <xdr:to>
      <xdr:col>58</xdr:col>
      <xdr:colOff>104775</xdr:colOff>
      <xdr:row>15</xdr:row>
      <xdr:rowOff>152400</xdr:rowOff>
    </xdr:to>
    <xdr:sp macro="" textlink="">
      <xdr:nvSpPr>
        <xdr:cNvPr id="564" name="Diagrama de flujo: conector 563">
          <a:extLst>
            <a:ext uri="{FF2B5EF4-FFF2-40B4-BE49-F238E27FC236}">
              <a16:creationId xmlns:a16="http://schemas.microsoft.com/office/drawing/2014/main" id="{273C6231-5BB1-4A9E-AF61-16A94922D83F}"/>
            </a:ext>
          </a:extLst>
        </xdr:cNvPr>
        <xdr:cNvSpPr/>
      </xdr:nvSpPr>
      <xdr:spPr>
        <a:xfrm>
          <a:off x="28956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58</xdr:col>
      <xdr:colOff>38100</xdr:colOff>
      <xdr:row>16</xdr:row>
      <xdr:rowOff>57150</xdr:rowOff>
    </xdr:from>
    <xdr:to>
      <xdr:col>58</xdr:col>
      <xdr:colOff>104775</xdr:colOff>
      <xdr:row>16</xdr:row>
      <xdr:rowOff>152400</xdr:rowOff>
    </xdr:to>
    <xdr:sp macro="" textlink="">
      <xdr:nvSpPr>
        <xdr:cNvPr id="565" name="Diagrama de flujo: conector 564">
          <a:extLst>
            <a:ext uri="{FF2B5EF4-FFF2-40B4-BE49-F238E27FC236}">
              <a16:creationId xmlns:a16="http://schemas.microsoft.com/office/drawing/2014/main" id="{4811D437-E576-417D-BBB6-571008CEAA86}"/>
            </a:ext>
          </a:extLst>
        </xdr:cNvPr>
        <xdr:cNvSpPr/>
      </xdr:nvSpPr>
      <xdr:spPr>
        <a:xfrm>
          <a:off x="28956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58</xdr:col>
      <xdr:colOff>38100</xdr:colOff>
      <xdr:row>17</xdr:row>
      <xdr:rowOff>57150</xdr:rowOff>
    </xdr:from>
    <xdr:to>
      <xdr:col>58</xdr:col>
      <xdr:colOff>104775</xdr:colOff>
      <xdr:row>17</xdr:row>
      <xdr:rowOff>152400</xdr:rowOff>
    </xdr:to>
    <xdr:sp macro="" textlink="">
      <xdr:nvSpPr>
        <xdr:cNvPr id="566" name="Diagrama de flujo: conector 565">
          <a:extLst>
            <a:ext uri="{FF2B5EF4-FFF2-40B4-BE49-F238E27FC236}">
              <a16:creationId xmlns:a16="http://schemas.microsoft.com/office/drawing/2014/main" id="{BA5BDA1B-9A6F-4FB8-902C-E2D6A38606C8}"/>
            </a:ext>
          </a:extLst>
        </xdr:cNvPr>
        <xdr:cNvSpPr/>
      </xdr:nvSpPr>
      <xdr:spPr>
        <a:xfrm>
          <a:off x="28956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58</xdr:col>
      <xdr:colOff>38100</xdr:colOff>
      <xdr:row>18</xdr:row>
      <xdr:rowOff>47625</xdr:rowOff>
    </xdr:from>
    <xdr:to>
      <xdr:col>58</xdr:col>
      <xdr:colOff>104775</xdr:colOff>
      <xdr:row>18</xdr:row>
      <xdr:rowOff>142875</xdr:rowOff>
    </xdr:to>
    <xdr:sp macro="" textlink="">
      <xdr:nvSpPr>
        <xdr:cNvPr id="568" name="Diagrama de flujo: conector 567">
          <a:extLst>
            <a:ext uri="{FF2B5EF4-FFF2-40B4-BE49-F238E27FC236}">
              <a16:creationId xmlns:a16="http://schemas.microsoft.com/office/drawing/2014/main" id="{414912E9-2FEE-4C33-AAE4-E6AB5DCEBB0B}"/>
            </a:ext>
          </a:extLst>
        </xdr:cNvPr>
        <xdr:cNvSpPr/>
      </xdr:nvSpPr>
      <xdr:spPr>
        <a:xfrm>
          <a:off x="28956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58</xdr:col>
      <xdr:colOff>38100</xdr:colOff>
      <xdr:row>19</xdr:row>
      <xdr:rowOff>57150</xdr:rowOff>
    </xdr:from>
    <xdr:to>
      <xdr:col>58</xdr:col>
      <xdr:colOff>104775</xdr:colOff>
      <xdr:row>19</xdr:row>
      <xdr:rowOff>152400</xdr:rowOff>
    </xdr:to>
    <xdr:sp macro="" textlink="">
      <xdr:nvSpPr>
        <xdr:cNvPr id="569" name="Diagrama de flujo: conector 568">
          <a:extLst>
            <a:ext uri="{FF2B5EF4-FFF2-40B4-BE49-F238E27FC236}">
              <a16:creationId xmlns:a16="http://schemas.microsoft.com/office/drawing/2014/main" id="{F9EAE232-36FB-4280-A2AD-15B4BDFC3E96}"/>
            </a:ext>
          </a:extLst>
        </xdr:cNvPr>
        <xdr:cNvSpPr/>
      </xdr:nvSpPr>
      <xdr:spPr>
        <a:xfrm>
          <a:off x="28956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58</xdr:col>
      <xdr:colOff>38100</xdr:colOff>
      <xdr:row>20</xdr:row>
      <xdr:rowOff>57150</xdr:rowOff>
    </xdr:from>
    <xdr:to>
      <xdr:col>58</xdr:col>
      <xdr:colOff>104775</xdr:colOff>
      <xdr:row>20</xdr:row>
      <xdr:rowOff>152400</xdr:rowOff>
    </xdr:to>
    <xdr:sp macro="" textlink="">
      <xdr:nvSpPr>
        <xdr:cNvPr id="570" name="Diagrama de flujo: conector 569">
          <a:extLst>
            <a:ext uri="{FF2B5EF4-FFF2-40B4-BE49-F238E27FC236}">
              <a16:creationId xmlns:a16="http://schemas.microsoft.com/office/drawing/2014/main" id="{FE4ABB95-8C6A-43F6-8ADE-D65923BDCAEC}"/>
            </a:ext>
          </a:extLst>
        </xdr:cNvPr>
        <xdr:cNvSpPr/>
      </xdr:nvSpPr>
      <xdr:spPr>
        <a:xfrm>
          <a:off x="28956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58</xdr:col>
      <xdr:colOff>38100</xdr:colOff>
      <xdr:row>21</xdr:row>
      <xdr:rowOff>47625</xdr:rowOff>
    </xdr:from>
    <xdr:to>
      <xdr:col>58</xdr:col>
      <xdr:colOff>104775</xdr:colOff>
      <xdr:row>21</xdr:row>
      <xdr:rowOff>142875</xdr:rowOff>
    </xdr:to>
    <xdr:sp macro="" textlink="">
      <xdr:nvSpPr>
        <xdr:cNvPr id="572" name="Diagrama de flujo: conector 571">
          <a:extLst>
            <a:ext uri="{FF2B5EF4-FFF2-40B4-BE49-F238E27FC236}">
              <a16:creationId xmlns:a16="http://schemas.microsoft.com/office/drawing/2014/main" id="{274A1174-4EBB-470A-8551-ACE2830C570C}"/>
            </a:ext>
          </a:extLst>
        </xdr:cNvPr>
        <xdr:cNvSpPr/>
      </xdr:nvSpPr>
      <xdr:spPr>
        <a:xfrm>
          <a:off x="28956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51</xdr:col>
      <xdr:colOff>38100</xdr:colOff>
      <xdr:row>14</xdr:row>
      <xdr:rowOff>57150</xdr:rowOff>
    </xdr:from>
    <xdr:to>
      <xdr:col>51</xdr:col>
      <xdr:colOff>104775</xdr:colOff>
      <xdr:row>14</xdr:row>
      <xdr:rowOff>152400</xdr:rowOff>
    </xdr:to>
    <xdr:sp macro="" textlink="">
      <xdr:nvSpPr>
        <xdr:cNvPr id="573" name="Diagrama de flujo: conector 572">
          <a:extLst>
            <a:ext uri="{FF2B5EF4-FFF2-40B4-BE49-F238E27FC236}">
              <a16:creationId xmlns:a16="http://schemas.microsoft.com/office/drawing/2014/main" id="{F350E76E-591E-42B8-BDE4-C3BD12B6AD5E}"/>
            </a:ext>
          </a:extLst>
        </xdr:cNvPr>
        <xdr:cNvSpPr/>
      </xdr:nvSpPr>
      <xdr:spPr>
        <a:xfrm>
          <a:off x="19621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51</xdr:col>
      <xdr:colOff>38100</xdr:colOff>
      <xdr:row>15</xdr:row>
      <xdr:rowOff>57150</xdr:rowOff>
    </xdr:from>
    <xdr:to>
      <xdr:col>51</xdr:col>
      <xdr:colOff>104775</xdr:colOff>
      <xdr:row>15</xdr:row>
      <xdr:rowOff>152400</xdr:rowOff>
    </xdr:to>
    <xdr:sp macro="" textlink="">
      <xdr:nvSpPr>
        <xdr:cNvPr id="574" name="Diagrama de flujo: conector 573">
          <a:extLst>
            <a:ext uri="{FF2B5EF4-FFF2-40B4-BE49-F238E27FC236}">
              <a16:creationId xmlns:a16="http://schemas.microsoft.com/office/drawing/2014/main" id="{D1E266F1-A714-4056-B089-C3A9E53F6E0B}"/>
            </a:ext>
          </a:extLst>
        </xdr:cNvPr>
        <xdr:cNvSpPr/>
      </xdr:nvSpPr>
      <xdr:spPr>
        <a:xfrm>
          <a:off x="19621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51</xdr:col>
      <xdr:colOff>38100</xdr:colOff>
      <xdr:row>16</xdr:row>
      <xdr:rowOff>57150</xdr:rowOff>
    </xdr:from>
    <xdr:to>
      <xdr:col>51</xdr:col>
      <xdr:colOff>104775</xdr:colOff>
      <xdr:row>16</xdr:row>
      <xdr:rowOff>152400</xdr:rowOff>
    </xdr:to>
    <xdr:sp macro="" textlink="">
      <xdr:nvSpPr>
        <xdr:cNvPr id="575" name="Diagrama de flujo: conector 574">
          <a:extLst>
            <a:ext uri="{FF2B5EF4-FFF2-40B4-BE49-F238E27FC236}">
              <a16:creationId xmlns:a16="http://schemas.microsoft.com/office/drawing/2014/main" id="{F54FC2F8-5FB1-48CB-AE11-34D3FBD72022}"/>
            </a:ext>
          </a:extLst>
        </xdr:cNvPr>
        <xdr:cNvSpPr/>
      </xdr:nvSpPr>
      <xdr:spPr>
        <a:xfrm>
          <a:off x="19621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51</xdr:col>
      <xdr:colOff>38100</xdr:colOff>
      <xdr:row>17</xdr:row>
      <xdr:rowOff>57150</xdr:rowOff>
    </xdr:from>
    <xdr:to>
      <xdr:col>51</xdr:col>
      <xdr:colOff>104775</xdr:colOff>
      <xdr:row>17</xdr:row>
      <xdr:rowOff>152400</xdr:rowOff>
    </xdr:to>
    <xdr:sp macro="" textlink="">
      <xdr:nvSpPr>
        <xdr:cNvPr id="576" name="Diagrama de flujo: conector 575">
          <a:extLst>
            <a:ext uri="{FF2B5EF4-FFF2-40B4-BE49-F238E27FC236}">
              <a16:creationId xmlns:a16="http://schemas.microsoft.com/office/drawing/2014/main" id="{54B2DF09-6236-412F-B807-3777F3405F60}"/>
            </a:ext>
          </a:extLst>
        </xdr:cNvPr>
        <xdr:cNvSpPr/>
      </xdr:nvSpPr>
      <xdr:spPr>
        <a:xfrm>
          <a:off x="19621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51</xdr:col>
      <xdr:colOff>38100</xdr:colOff>
      <xdr:row>18</xdr:row>
      <xdr:rowOff>47625</xdr:rowOff>
    </xdr:from>
    <xdr:to>
      <xdr:col>51</xdr:col>
      <xdr:colOff>104775</xdr:colOff>
      <xdr:row>18</xdr:row>
      <xdr:rowOff>142875</xdr:rowOff>
    </xdr:to>
    <xdr:sp macro="" textlink="">
      <xdr:nvSpPr>
        <xdr:cNvPr id="578" name="Diagrama de flujo: conector 577">
          <a:extLst>
            <a:ext uri="{FF2B5EF4-FFF2-40B4-BE49-F238E27FC236}">
              <a16:creationId xmlns:a16="http://schemas.microsoft.com/office/drawing/2014/main" id="{9626DD23-4D8E-49FD-ACC6-67CAAFDEE110}"/>
            </a:ext>
          </a:extLst>
        </xdr:cNvPr>
        <xdr:cNvSpPr/>
      </xdr:nvSpPr>
      <xdr:spPr>
        <a:xfrm>
          <a:off x="19621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51</xdr:col>
      <xdr:colOff>38100</xdr:colOff>
      <xdr:row>19</xdr:row>
      <xdr:rowOff>57150</xdr:rowOff>
    </xdr:from>
    <xdr:to>
      <xdr:col>51</xdr:col>
      <xdr:colOff>104775</xdr:colOff>
      <xdr:row>19</xdr:row>
      <xdr:rowOff>152400</xdr:rowOff>
    </xdr:to>
    <xdr:sp macro="" textlink="">
      <xdr:nvSpPr>
        <xdr:cNvPr id="579" name="Diagrama de flujo: conector 578">
          <a:extLst>
            <a:ext uri="{FF2B5EF4-FFF2-40B4-BE49-F238E27FC236}">
              <a16:creationId xmlns:a16="http://schemas.microsoft.com/office/drawing/2014/main" id="{B685B238-930F-4A45-B075-E4A2FA9EF65C}"/>
            </a:ext>
          </a:extLst>
        </xdr:cNvPr>
        <xdr:cNvSpPr/>
      </xdr:nvSpPr>
      <xdr:spPr>
        <a:xfrm>
          <a:off x="19621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51</xdr:col>
      <xdr:colOff>38100</xdr:colOff>
      <xdr:row>20</xdr:row>
      <xdr:rowOff>57150</xdr:rowOff>
    </xdr:from>
    <xdr:to>
      <xdr:col>51</xdr:col>
      <xdr:colOff>104775</xdr:colOff>
      <xdr:row>20</xdr:row>
      <xdr:rowOff>152400</xdr:rowOff>
    </xdr:to>
    <xdr:sp macro="" textlink="">
      <xdr:nvSpPr>
        <xdr:cNvPr id="580" name="Diagrama de flujo: conector 579">
          <a:extLst>
            <a:ext uri="{FF2B5EF4-FFF2-40B4-BE49-F238E27FC236}">
              <a16:creationId xmlns:a16="http://schemas.microsoft.com/office/drawing/2014/main" id="{59150416-4F93-4F89-B14B-8FB0CE5C6D37}"/>
            </a:ext>
          </a:extLst>
        </xdr:cNvPr>
        <xdr:cNvSpPr/>
      </xdr:nvSpPr>
      <xdr:spPr>
        <a:xfrm>
          <a:off x="19621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51</xdr:col>
      <xdr:colOff>38100</xdr:colOff>
      <xdr:row>21</xdr:row>
      <xdr:rowOff>47625</xdr:rowOff>
    </xdr:from>
    <xdr:to>
      <xdr:col>51</xdr:col>
      <xdr:colOff>104775</xdr:colOff>
      <xdr:row>21</xdr:row>
      <xdr:rowOff>142875</xdr:rowOff>
    </xdr:to>
    <xdr:sp macro="" textlink="">
      <xdr:nvSpPr>
        <xdr:cNvPr id="582" name="Diagrama de flujo: conector 581">
          <a:extLst>
            <a:ext uri="{FF2B5EF4-FFF2-40B4-BE49-F238E27FC236}">
              <a16:creationId xmlns:a16="http://schemas.microsoft.com/office/drawing/2014/main" id="{EDF4CAA3-2955-4986-9329-9D9F1805241E}"/>
            </a:ext>
          </a:extLst>
        </xdr:cNvPr>
        <xdr:cNvSpPr/>
      </xdr:nvSpPr>
      <xdr:spPr>
        <a:xfrm>
          <a:off x="19621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40</xdr:col>
      <xdr:colOff>38100</xdr:colOff>
      <xdr:row>14</xdr:row>
      <xdr:rowOff>57150</xdr:rowOff>
    </xdr:from>
    <xdr:to>
      <xdr:col>40</xdr:col>
      <xdr:colOff>104775</xdr:colOff>
      <xdr:row>14</xdr:row>
      <xdr:rowOff>152400</xdr:rowOff>
    </xdr:to>
    <xdr:sp macro="" textlink="">
      <xdr:nvSpPr>
        <xdr:cNvPr id="583" name="Diagrama de flujo: conector 582">
          <a:extLst>
            <a:ext uri="{FF2B5EF4-FFF2-40B4-BE49-F238E27FC236}">
              <a16:creationId xmlns:a16="http://schemas.microsoft.com/office/drawing/2014/main" id="{0FC1A3FA-FA83-400B-8BD6-BE77409C0BE2}"/>
            </a:ext>
          </a:extLst>
        </xdr:cNvPr>
        <xdr:cNvSpPr/>
      </xdr:nvSpPr>
      <xdr:spPr>
        <a:xfrm>
          <a:off x="20955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40</xdr:col>
      <xdr:colOff>38100</xdr:colOff>
      <xdr:row>15</xdr:row>
      <xdr:rowOff>57150</xdr:rowOff>
    </xdr:from>
    <xdr:to>
      <xdr:col>40</xdr:col>
      <xdr:colOff>104775</xdr:colOff>
      <xdr:row>15</xdr:row>
      <xdr:rowOff>152400</xdr:rowOff>
    </xdr:to>
    <xdr:sp macro="" textlink="">
      <xdr:nvSpPr>
        <xdr:cNvPr id="584" name="Diagrama de flujo: conector 583">
          <a:extLst>
            <a:ext uri="{FF2B5EF4-FFF2-40B4-BE49-F238E27FC236}">
              <a16:creationId xmlns:a16="http://schemas.microsoft.com/office/drawing/2014/main" id="{6F06CE05-B8EA-4D8F-AEE7-E5097E4697D0}"/>
            </a:ext>
          </a:extLst>
        </xdr:cNvPr>
        <xdr:cNvSpPr/>
      </xdr:nvSpPr>
      <xdr:spPr>
        <a:xfrm>
          <a:off x="20955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40</xdr:col>
      <xdr:colOff>38100</xdr:colOff>
      <xdr:row>16</xdr:row>
      <xdr:rowOff>57150</xdr:rowOff>
    </xdr:from>
    <xdr:to>
      <xdr:col>40</xdr:col>
      <xdr:colOff>104775</xdr:colOff>
      <xdr:row>16</xdr:row>
      <xdr:rowOff>152400</xdr:rowOff>
    </xdr:to>
    <xdr:sp macro="" textlink="">
      <xdr:nvSpPr>
        <xdr:cNvPr id="585" name="Diagrama de flujo: conector 584">
          <a:extLst>
            <a:ext uri="{FF2B5EF4-FFF2-40B4-BE49-F238E27FC236}">
              <a16:creationId xmlns:a16="http://schemas.microsoft.com/office/drawing/2014/main" id="{490F8A20-50CE-41B0-B843-5880CE71B01C}"/>
            </a:ext>
          </a:extLst>
        </xdr:cNvPr>
        <xdr:cNvSpPr/>
      </xdr:nvSpPr>
      <xdr:spPr>
        <a:xfrm>
          <a:off x="20955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40</xdr:col>
      <xdr:colOff>38100</xdr:colOff>
      <xdr:row>17</xdr:row>
      <xdr:rowOff>57150</xdr:rowOff>
    </xdr:from>
    <xdr:to>
      <xdr:col>40</xdr:col>
      <xdr:colOff>104775</xdr:colOff>
      <xdr:row>17</xdr:row>
      <xdr:rowOff>152400</xdr:rowOff>
    </xdr:to>
    <xdr:sp macro="" textlink="">
      <xdr:nvSpPr>
        <xdr:cNvPr id="586" name="Diagrama de flujo: conector 585">
          <a:extLst>
            <a:ext uri="{FF2B5EF4-FFF2-40B4-BE49-F238E27FC236}">
              <a16:creationId xmlns:a16="http://schemas.microsoft.com/office/drawing/2014/main" id="{7CA0879F-FB75-4B77-932C-3B3E15DC9CE7}"/>
            </a:ext>
          </a:extLst>
        </xdr:cNvPr>
        <xdr:cNvSpPr/>
      </xdr:nvSpPr>
      <xdr:spPr>
        <a:xfrm>
          <a:off x="20955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40</xdr:col>
      <xdr:colOff>38100</xdr:colOff>
      <xdr:row>18</xdr:row>
      <xdr:rowOff>47625</xdr:rowOff>
    </xdr:from>
    <xdr:to>
      <xdr:col>40</xdr:col>
      <xdr:colOff>104775</xdr:colOff>
      <xdr:row>18</xdr:row>
      <xdr:rowOff>142875</xdr:rowOff>
    </xdr:to>
    <xdr:sp macro="" textlink="">
      <xdr:nvSpPr>
        <xdr:cNvPr id="588" name="Diagrama de flujo: conector 587">
          <a:extLst>
            <a:ext uri="{FF2B5EF4-FFF2-40B4-BE49-F238E27FC236}">
              <a16:creationId xmlns:a16="http://schemas.microsoft.com/office/drawing/2014/main" id="{4CBB5C0C-4BEA-4404-9290-46FE100EFD49}"/>
            </a:ext>
          </a:extLst>
        </xdr:cNvPr>
        <xdr:cNvSpPr/>
      </xdr:nvSpPr>
      <xdr:spPr>
        <a:xfrm>
          <a:off x="20955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40</xdr:col>
      <xdr:colOff>38100</xdr:colOff>
      <xdr:row>19</xdr:row>
      <xdr:rowOff>57150</xdr:rowOff>
    </xdr:from>
    <xdr:to>
      <xdr:col>40</xdr:col>
      <xdr:colOff>104775</xdr:colOff>
      <xdr:row>19</xdr:row>
      <xdr:rowOff>152400</xdr:rowOff>
    </xdr:to>
    <xdr:sp macro="" textlink="">
      <xdr:nvSpPr>
        <xdr:cNvPr id="589" name="Diagrama de flujo: conector 588">
          <a:extLst>
            <a:ext uri="{FF2B5EF4-FFF2-40B4-BE49-F238E27FC236}">
              <a16:creationId xmlns:a16="http://schemas.microsoft.com/office/drawing/2014/main" id="{279FBBA4-F925-4C85-AC3E-922CCAE72777}"/>
            </a:ext>
          </a:extLst>
        </xdr:cNvPr>
        <xdr:cNvSpPr/>
      </xdr:nvSpPr>
      <xdr:spPr>
        <a:xfrm>
          <a:off x="20955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40</xdr:col>
      <xdr:colOff>38100</xdr:colOff>
      <xdr:row>20</xdr:row>
      <xdr:rowOff>57150</xdr:rowOff>
    </xdr:from>
    <xdr:to>
      <xdr:col>40</xdr:col>
      <xdr:colOff>104775</xdr:colOff>
      <xdr:row>20</xdr:row>
      <xdr:rowOff>152400</xdr:rowOff>
    </xdr:to>
    <xdr:sp macro="" textlink="">
      <xdr:nvSpPr>
        <xdr:cNvPr id="590" name="Diagrama de flujo: conector 589">
          <a:extLst>
            <a:ext uri="{FF2B5EF4-FFF2-40B4-BE49-F238E27FC236}">
              <a16:creationId xmlns:a16="http://schemas.microsoft.com/office/drawing/2014/main" id="{49B56169-4D3D-4C3B-AFF8-9664BDB4D28A}"/>
            </a:ext>
          </a:extLst>
        </xdr:cNvPr>
        <xdr:cNvSpPr/>
      </xdr:nvSpPr>
      <xdr:spPr>
        <a:xfrm>
          <a:off x="20955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40</xdr:col>
      <xdr:colOff>38100</xdr:colOff>
      <xdr:row>21</xdr:row>
      <xdr:rowOff>47625</xdr:rowOff>
    </xdr:from>
    <xdr:to>
      <xdr:col>40</xdr:col>
      <xdr:colOff>104775</xdr:colOff>
      <xdr:row>21</xdr:row>
      <xdr:rowOff>142875</xdr:rowOff>
    </xdr:to>
    <xdr:sp macro="" textlink="">
      <xdr:nvSpPr>
        <xdr:cNvPr id="592" name="Diagrama de flujo: conector 591">
          <a:extLst>
            <a:ext uri="{FF2B5EF4-FFF2-40B4-BE49-F238E27FC236}">
              <a16:creationId xmlns:a16="http://schemas.microsoft.com/office/drawing/2014/main" id="{453A2B7A-B7C0-4553-A0CE-C483434BBF11}"/>
            </a:ext>
          </a:extLst>
        </xdr:cNvPr>
        <xdr:cNvSpPr/>
      </xdr:nvSpPr>
      <xdr:spPr>
        <a:xfrm>
          <a:off x="20955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41</xdr:col>
      <xdr:colOff>38100</xdr:colOff>
      <xdr:row>14</xdr:row>
      <xdr:rowOff>57150</xdr:rowOff>
    </xdr:from>
    <xdr:to>
      <xdr:col>41</xdr:col>
      <xdr:colOff>104775</xdr:colOff>
      <xdr:row>14</xdr:row>
      <xdr:rowOff>152400</xdr:rowOff>
    </xdr:to>
    <xdr:sp macro="" textlink="">
      <xdr:nvSpPr>
        <xdr:cNvPr id="593" name="Diagrama de flujo: conector 592">
          <a:extLst>
            <a:ext uri="{FF2B5EF4-FFF2-40B4-BE49-F238E27FC236}">
              <a16:creationId xmlns:a16="http://schemas.microsoft.com/office/drawing/2014/main" id="{A519D946-C1F4-424E-9E6C-D5BE2D6015AD}"/>
            </a:ext>
          </a:extLst>
        </xdr:cNvPr>
        <xdr:cNvSpPr/>
      </xdr:nvSpPr>
      <xdr:spPr>
        <a:xfrm>
          <a:off x="22288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41</xdr:col>
      <xdr:colOff>38100</xdr:colOff>
      <xdr:row>15</xdr:row>
      <xdr:rowOff>57150</xdr:rowOff>
    </xdr:from>
    <xdr:to>
      <xdr:col>41</xdr:col>
      <xdr:colOff>104775</xdr:colOff>
      <xdr:row>15</xdr:row>
      <xdr:rowOff>152400</xdr:rowOff>
    </xdr:to>
    <xdr:sp macro="" textlink="">
      <xdr:nvSpPr>
        <xdr:cNvPr id="594" name="Diagrama de flujo: conector 593">
          <a:extLst>
            <a:ext uri="{FF2B5EF4-FFF2-40B4-BE49-F238E27FC236}">
              <a16:creationId xmlns:a16="http://schemas.microsoft.com/office/drawing/2014/main" id="{75E0F574-AB81-4259-A36F-2B69D9837730}"/>
            </a:ext>
          </a:extLst>
        </xdr:cNvPr>
        <xdr:cNvSpPr/>
      </xdr:nvSpPr>
      <xdr:spPr>
        <a:xfrm>
          <a:off x="22288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41</xdr:col>
      <xdr:colOff>38100</xdr:colOff>
      <xdr:row>16</xdr:row>
      <xdr:rowOff>57150</xdr:rowOff>
    </xdr:from>
    <xdr:to>
      <xdr:col>41</xdr:col>
      <xdr:colOff>104775</xdr:colOff>
      <xdr:row>16</xdr:row>
      <xdr:rowOff>152400</xdr:rowOff>
    </xdr:to>
    <xdr:sp macro="" textlink="">
      <xdr:nvSpPr>
        <xdr:cNvPr id="595" name="Diagrama de flujo: conector 594">
          <a:extLst>
            <a:ext uri="{FF2B5EF4-FFF2-40B4-BE49-F238E27FC236}">
              <a16:creationId xmlns:a16="http://schemas.microsoft.com/office/drawing/2014/main" id="{5CCB2854-C74B-45E2-BC41-B8B2B0FFA6BC}"/>
            </a:ext>
          </a:extLst>
        </xdr:cNvPr>
        <xdr:cNvSpPr/>
      </xdr:nvSpPr>
      <xdr:spPr>
        <a:xfrm>
          <a:off x="22288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41</xdr:col>
      <xdr:colOff>38100</xdr:colOff>
      <xdr:row>17</xdr:row>
      <xdr:rowOff>57150</xdr:rowOff>
    </xdr:from>
    <xdr:to>
      <xdr:col>41</xdr:col>
      <xdr:colOff>104775</xdr:colOff>
      <xdr:row>17</xdr:row>
      <xdr:rowOff>152400</xdr:rowOff>
    </xdr:to>
    <xdr:sp macro="" textlink="">
      <xdr:nvSpPr>
        <xdr:cNvPr id="596" name="Diagrama de flujo: conector 595">
          <a:extLst>
            <a:ext uri="{FF2B5EF4-FFF2-40B4-BE49-F238E27FC236}">
              <a16:creationId xmlns:a16="http://schemas.microsoft.com/office/drawing/2014/main" id="{567D4572-2FE3-4608-B698-0F3262D666A3}"/>
            </a:ext>
          </a:extLst>
        </xdr:cNvPr>
        <xdr:cNvSpPr/>
      </xdr:nvSpPr>
      <xdr:spPr>
        <a:xfrm>
          <a:off x="22288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41</xdr:col>
      <xdr:colOff>38100</xdr:colOff>
      <xdr:row>18</xdr:row>
      <xdr:rowOff>47625</xdr:rowOff>
    </xdr:from>
    <xdr:to>
      <xdr:col>41</xdr:col>
      <xdr:colOff>104775</xdr:colOff>
      <xdr:row>18</xdr:row>
      <xdr:rowOff>142875</xdr:rowOff>
    </xdr:to>
    <xdr:sp macro="" textlink="">
      <xdr:nvSpPr>
        <xdr:cNvPr id="598" name="Diagrama de flujo: conector 597">
          <a:extLst>
            <a:ext uri="{FF2B5EF4-FFF2-40B4-BE49-F238E27FC236}">
              <a16:creationId xmlns:a16="http://schemas.microsoft.com/office/drawing/2014/main" id="{062C2B9D-8F1C-4548-935F-D6D284814ACF}"/>
            </a:ext>
          </a:extLst>
        </xdr:cNvPr>
        <xdr:cNvSpPr/>
      </xdr:nvSpPr>
      <xdr:spPr>
        <a:xfrm>
          <a:off x="22288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41</xdr:col>
      <xdr:colOff>38100</xdr:colOff>
      <xdr:row>19</xdr:row>
      <xdr:rowOff>57150</xdr:rowOff>
    </xdr:from>
    <xdr:to>
      <xdr:col>41</xdr:col>
      <xdr:colOff>104775</xdr:colOff>
      <xdr:row>19</xdr:row>
      <xdr:rowOff>152400</xdr:rowOff>
    </xdr:to>
    <xdr:sp macro="" textlink="">
      <xdr:nvSpPr>
        <xdr:cNvPr id="599" name="Diagrama de flujo: conector 598">
          <a:extLst>
            <a:ext uri="{FF2B5EF4-FFF2-40B4-BE49-F238E27FC236}">
              <a16:creationId xmlns:a16="http://schemas.microsoft.com/office/drawing/2014/main" id="{CCBF1FE5-08F6-411A-8274-1DF5718AF198}"/>
            </a:ext>
          </a:extLst>
        </xdr:cNvPr>
        <xdr:cNvSpPr/>
      </xdr:nvSpPr>
      <xdr:spPr>
        <a:xfrm>
          <a:off x="22288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41</xdr:col>
      <xdr:colOff>38100</xdr:colOff>
      <xdr:row>20</xdr:row>
      <xdr:rowOff>57150</xdr:rowOff>
    </xdr:from>
    <xdr:to>
      <xdr:col>41</xdr:col>
      <xdr:colOff>104775</xdr:colOff>
      <xdr:row>20</xdr:row>
      <xdr:rowOff>152400</xdr:rowOff>
    </xdr:to>
    <xdr:sp macro="" textlink="">
      <xdr:nvSpPr>
        <xdr:cNvPr id="600" name="Diagrama de flujo: conector 599">
          <a:extLst>
            <a:ext uri="{FF2B5EF4-FFF2-40B4-BE49-F238E27FC236}">
              <a16:creationId xmlns:a16="http://schemas.microsoft.com/office/drawing/2014/main" id="{C72E5327-16BC-4B34-A406-3584D0BA0467}"/>
            </a:ext>
          </a:extLst>
        </xdr:cNvPr>
        <xdr:cNvSpPr/>
      </xdr:nvSpPr>
      <xdr:spPr>
        <a:xfrm>
          <a:off x="22288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41</xdr:col>
      <xdr:colOff>38100</xdr:colOff>
      <xdr:row>21</xdr:row>
      <xdr:rowOff>47625</xdr:rowOff>
    </xdr:from>
    <xdr:to>
      <xdr:col>41</xdr:col>
      <xdr:colOff>104775</xdr:colOff>
      <xdr:row>21</xdr:row>
      <xdr:rowOff>142875</xdr:rowOff>
    </xdr:to>
    <xdr:sp macro="" textlink="">
      <xdr:nvSpPr>
        <xdr:cNvPr id="602" name="Diagrama de flujo: conector 601">
          <a:extLst>
            <a:ext uri="{FF2B5EF4-FFF2-40B4-BE49-F238E27FC236}">
              <a16:creationId xmlns:a16="http://schemas.microsoft.com/office/drawing/2014/main" id="{A2611A64-C2F0-46D3-9A4F-6E53E9BACE8A}"/>
            </a:ext>
          </a:extLst>
        </xdr:cNvPr>
        <xdr:cNvSpPr/>
      </xdr:nvSpPr>
      <xdr:spPr>
        <a:xfrm>
          <a:off x="22288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42</xdr:col>
      <xdr:colOff>38100</xdr:colOff>
      <xdr:row>14</xdr:row>
      <xdr:rowOff>57150</xdr:rowOff>
    </xdr:from>
    <xdr:to>
      <xdr:col>42</xdr:col>
      <xdr:colOff>104775</xdr:colOff>
      <xdr:row>14</xdr:row>
      <xdr:rowOff>152400</xdr:rowOff>
    </xdr:to>
    <xdr:sp macro="" textlink="">
      <xdr:nvSpPr>
        <xdr:cNvPr id="603" name="Diagrama de flujo: conector 602">
          <a:extLst>
            <a:ext uri="{FF2B5EF4-FFF2-40B4-BE49-F238E27FC236}">
              <a16:creationId xmlns:a16="http://schemas.microsoft.com/office/drawing/2014/main" id="{98B62A72-A3F5-427A-9224-8E4FF45226E0}"/>
            </a:ext>
          </a:extLst>
        </xdr:cNvPr>
        <xdr:cNvSpPr/>
      </xdr:nvSpPr>
      <xdr:spPr>
        <a:xfrm>
          <a:off x="23622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42</xdr:col>
      <xdr:colOff>38100</xdr:colOff>
      <xdr:row>15</xdr:row>
      <xdr:rowOff>57150</xdr:rowOff>
    </xdr:from>
    <xdr:to>
      <xdr:col>42</xdr:col>
      <xdr:colOff>104775</xdr:colOff>
      <xdr:row>15</xdr:row>
      <xdr:rowOff>152400</xdr:rowOff>
    </xdr:to>
    <xdr:sp macro="" textlink="">
      <xdr:nvSpPr>
        <xdr:cNvPr id="604" name="Diagrama de flujo: conector 603">
          <a:extLst>
            <a:ext uri="{FF2B5EF4-FFF2-40B4-BE49-F238E27FC236}">
              <a16:creationId xmlns:a16="http://schemas.microsoft.com/office/drawing/2014/main" id="{C69884AC-AA8F-4848-A0CD-3A4405114364}"/>
            </a:ext>
          </a:extLst>
        </xdr:cNvPr>
        <xdr:cNvSpPr/>
      </xdr:nvSpPr>
      <xdr:spPr>
        <a:xfrm>
          <a:off x="23622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42</xdr:col>
      <xdr:colOff>38100</xdr:colOff>
      <xdr:row>16</xdr:row>
      <xdr:rowOff>57150</xdr:rowOff>
    </xdr:from>
    <xdr:to>
      <xdr:col>42</xdr:col>
      <xdr:colOff>104775</xdr:colOff>
      <xdr:row>16</xdr:row>
      <xdr:rowOff>152400</xdr:rowOff>
    </xdr:to>
    <xdr:sp macro="" textlink="">
      <xdr:nvSpPr>
        <xdr:cNvPr id="605" name="Diagrama de flujo: conector 604">
          <a:extLst>
            <a:ext uri="{FF2B5EF4-FFF2-40B4-BE49-F238E27FC236}">
              <a16:creationId xmlns:a16="http://schemas.microsoft.com/office/drawing/2014/main" id="{A7A923E8-AA61-4345-A9AC-7E9BAE659090}"/>
            </a:ext>
          </a:extLst>
        </xdr:cNvPr>
        <xdr:cNvSpPr/>
      </xdr:nvSpPr>
      <xdr:spPr>
        <a:xfrm>
          <a:off x="23622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42</xdr:col>
      <xdr:colOff>38100</xdr:colOff>
      <xdr:row>17</xdr:row>
      <xdr:rowOff>57150</xdr:rowOff>
    </xdr:from>
    <xdr:to>
      <xdr:col>42</xdr:col>
      <xdr:colOff>104775</xdr:colOff>
      <xdr:row>17</xdr:row>
      <xdr:rowOff>152400</xdr:rowOff>
    </xdr:to>
    <xdr:sp macro="" textlink="">
      <xdr:nvSpPr>
        <xdr:cNvPr id="606" name="Diagrama de flujo: conector 605">
          <a:extLst>
            <a:ext uri="{FF2B5EF4-FFF2-40B4-BE49-F238E27FC236}">
              <a16:creationId xmlns:a16="http://schemas.microsoft.com/office/drawing/2014/main" id="{352C5CA4-4C2A-43B6-983A-A597EA65EC06}"/>
            </a:ext>
          </a:extLst>
        </xdr:cNvPr>
        <xdr:cNvSpPr/>
      </xdr:nvSpPr>
      <xdr:spPr>
        <a:xfrm>
          <a:off x="23622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42</xdr:col>
      <xdr:colOff>38100</xdr:colOff>
      <xdr:row>18</xdr:row>
      <xdr:rowOff>47625</xdr:rowOff>
    </xdr:from>
    <xdr:to>
      <xdr:col>42</xdr:col>
      <xdr:colOff>104775</xdr:colOff>
      <xdr:row>18</xdr:row>
      <xdr:rowOff>142875</xdr:rowOff>
    </xdr:to>
    <xdr:sp macro="" textlink="">
      <xdr:nvSpPr>
        <xdr:cNvPr id="608" name="Diagrama de flujo: conector 607">
          <a:extLst>
            <a:ext uri="{FF2B5EF4-FFF2-40B4-BE49-F238E27FC236}">
              <a16:creationId xmlns:a16="http://schemas.microsoft.com/office/drawing/2014/main" id="{F221C6C9-361E-45C2-8CF8-7FD8FE331373}"/>
            </a:ext>
          </a:extLst>
        </xdr:cNvPr>
        <xdr:cNvSpPr/>
      </xdr:nvSpPr>
      <xdr:spPr>
        <a:xfrm>
          <a:off x="23622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42</xdr:col>
      <xdr:colOff>38100</xdr:colOff>
      <xdr:row>19</xdr:row>
      <xdr:rowOff>57150</xdr:rowOff>
    </xdr:from>
    <xdr:to>
      <xdr:col>42</xdr:col>
      <xdr:colOff>104775</xdr:colOff>
      <xdr:row>19</xdr:row>
      <xdr:rowOff>152400</xdr:rowOff>
    </xdr:to>
    <xdr:sp macro="" textlink="">
      <xdr:nvSpPr>
        <xdr:cNvPr id="609" name="Diagrama de flujo: conector 608">
          <a:extLst>
            <a:ext uri="{FF2B5EF4-FFF2-40B4-BE49-F238E27FC236}">
              <a16:creationId xmlns:a16="http://schemas.microsoft.com/office/drawing/2014/main" id="{D2B9BAA8-8E6E-469B-AA42-A867DEF01122}"/>
            </a:ext>
          </a:extLst>
        </xdr:cNvPr>
        <xdr:cNvSpPr/>
      </xdr:nvSpPr>
      <xdr:spPr>
        <a:xfrm>
          <a:off x="23622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42</xdr:col>
      <xdr:colOff>38100</xdr:colOff>
      <xdr:row>20</xdr:row>
      <xdr:rowOff>57150</xdr:rowOff>
    </xdr:from>
    <xdr:to>
      <xdr:col>42</xdr:col>
      <xdr:colOff>104775</xdr:colOff>
      <xdr:row>20</xdr:row>
      <xdr:rowOff>152400</xdr:rowOff>
    </xdr:to>
    <xdr:sp macro="" textlink="">
      <xdr:nvSpPr>
        <xdr:cNvPr id="610" name="Diagrama de flujo: conector 609">
          <a:extLst>
            <a:ext uri="{FF2B5EF4-FFF2-40B4-BE49-F238E27FC236}">
              <a16:creationId xmlns:a16="http://schemas.microsoft.com/office/drawing/2014/main" id="{6B3B861C-2C72-4650-A2E5-3B1E91207160}"/>
            </a:ext>
          </a:extLst>
        </xdr:cNvPr>
        <xdr:cNvSpPr/>
      </xdr:nvSpPr>
      <xdr:spPr>
        <a:xfrm>
          <a:off x="23622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42</xdr:col>
      <xdr:colOff>38100</xdr:colOff>
      <xdr:row>21</xdr:row>
      <xdr:rowOff>47625</xdr:rowOff>
    </xdr:from>
    <xdr:to>
      <xdr:col>42</xdr:col>
      <xdr:colOff>104775</xdr:colOff>
      <xdr:row>21</xdr:row>
      <xdr:rowOff>142875</xdr:rowOff>
    </xdr:to>
    <xdr:sp macro="" textlink="">
      <xdr:nvSpPr>
        <xdr:cNvPr id="612" name="Diagrama de flujo: conector 611">
          <a:extLst>
            <a:ext uri="{FF2B5EF4-FFF2-40B4-BE49-F238E27FC236}">
              <a16:creationId xmlns:a16="http://schemas.microsoft.com/office/drawing/2014/main" id="{5D3CA4BB-72E6-4FB6-80EF-1E9F26D1FB7D}"/>
            </a:ext>
          </a:extLst>
        </xdr:cNvPr>
        <xdr:cNvSpPr/>
      </xdr:nvSpPr>
      <xdr:spPr>
        <a:xfrm>
          <a:off x="23622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43</xdr:col>
      <xdr:colOff>38100</xdr:colOff>
      <xdr:row>14</xdr:row>
      <xdr:rowOff>57150</xdr:rowOff>
    </xdr:from>
    <xdr:to>
      <xdr:col>43</xdr:col>
      <xdr:colOff>104775</xdr:colOff>
      <xdr:row>14</xdr:row>
      <xdr:rowOff>152400</xdr:rowOff>
    </xdr:to>
    <xdr:sp macro="" textlink="">
      <xdr:nvSpPr>
        <xdr:cNvPr id="613" name="Diagrama de flujo: conector 612">
          <a:extLst>
            <a:ext uri="{FF2B5EF4-FFF2-40B4-BE49-F238E27FC236}">
              <a16:creationId xmlns:a16="http://schemas.microsoft.com/office/drawing/2014/main" id="{5A40BE34-9647-407F-8010-F7225DA3E23A}"/>
            </a:ext>
          </a:extLst>
        </xdr:cNvPr>
        <xdr:cNvSpPr/>
      </xdr:nvSpPr>
      <xdr:spPr>
        <a:xfrm>
          <a:off x="24955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43</xdr:col>
      <xdr:colOff>38100</xdr:colOff>
      <xdr:row>15</xdr:row>
      <xdr:rowOff>57150</xdr:rowOff>
    </xdr:from>
    <xdr:to>
      <xdr:col>43</xdr:col>
      <xdr:colOff>104775</xdr:colOff>
      <xdr:row>15</xdr:row>
      <xdr:rowOff>152400</xdr:rowOff>
    </xdr:to>
    <xdr:sp macro="" textlink="">
      <xdr:nvSpPr>
        <xdr:cNvPr id="614" name="Diagrama de flujo: conector 613">
          <a:extLst>
            <a:ext uri="{FF2B5EF4-FFF2-40B4-BE49-F238E27FC236}">
              <a16:creationId xmlns:a16="http://schemas.microsoft.com/office/drawing/2014/main" id="{4D9F1798-6BD4-40D8-862D-AE135D75812B}"/>
            </a:ext>
          </a:extLst>
        </xdr:cNvPr>
        <xdr:cNvSpPr/>
      </xdr:nvSpPr>
      <xdr:spPr>
        <a:xfrm>
          <a:off x="24955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43</xdr:col>
      <xdr:colOff>38100</xdr:colOff>
      <xdr:row>16</xdr:row>
      <xdr:rowOff>57150</xdr:rowOff>
    </xdr:from>
    <xdr:to>
      <xdr:col>43</xdr:col>
      <xdr:colOff>104775</xdr:colOff>
      <xdr:row>16</xdr:row>
      <xdr:rowOff>152400</xdr:rowOff>
    </xdr:to>
    <xdr:sp macro="" textlink="">
      <xdr:nvSpPr>
        <xdr:cNvPr id="615" name="Diagrama de flujo: conector 614">
          <a:extLst>
            <a:ext uri="{FF2B5EF4-FFF2-40B4-BE49-F238E27FC236}">
              <a16:creationId xmlns:a16="http://schemas.microsoft.com/office/drawing/2014/main" id="{14E6D7F3-BA6E-4F43-AF43-11D212E11324}"/>
            </a:ext>
          </a:extLst>
        </xdr:cNvPr>
        <xdr:cNvSpPr/>
      </xdr:nvSpPr>
      <xdr:spPr>
        <a:xfrm>
          <a:off x="24955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43</xdr:col>
      <xdr:colOff>38100</xdr:colOff>
      <xdr:row>17</xdr:row>
      <xdr:rowOff>57150</xdr:rowOff>
    </xdr:from>
    <xdr:to>
      <xdr:col>43</xdr:col>
      <xdr:colOff>104775</xdr:colOff>
      <xdr:row>17</xdr:row>
      <xdr:rowOff>152400</xdr:rowOff>
    </xdr:to>
    <xdr:sp macro="" textlink="">
      <xdr:nvSpPr>
        <xdr:cNvPr id="616" name="Diagrama de flujo: conector 615">
          <a:extLst>
            <a:ext uri="{FF2B5EF4-FFF2-40B4-BE49-F238E27FC236}">
              <a16:creationId xmlns:a16="http://schemas.microsoft.com/office/drawing/2014/main" id="{BB70039A-92FA-4D1A-A890-6900DD257A95}"/>
            </a:ext>
          </a:extLst>
        </xdr:cNvPr>
        <xdr:cNvSpPr/>
      </xdr:nvSpPr>
      <xdr:spPr>
        <a:xfrm>
          <a:off x="24955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43</xdr:col>
      <xdr:colOff>38100</xdr:colOff>
      <xdr:row>18</xdr:row>
      <xdr:rowOff>47625</xdr:rowOff>
    </xdr:from>
    <xdr:to>
      <xdr:col>43</xdr:col>
      <xdr:colOff>104775</xdr:colOff>
      <xdr:row>18</xdr:row>
      <xdr:rowOff>142875</xdr:rowOff>
    </xdr:to>
    <xdr:sp macro="" textlink="">
      <xdr:nvSpPr>
        <xdr:cNvPr id="618" name="Diagrama de flujo: conector 617">
          <a:extLst>
            <a:ext uri="{FF2B5EF4-FFF2-40B4-BE49-F238E27FC236}">
              <a16:creationId xmlns:a16="http://schemas.microsoft.com/office/drawing/2014/main" id="{B4D8B912-C2C0-474F-9875-2391BA6733E0}"/>
            </a:ext>
          </a:extLst>
        </xdr:cNvPr>
        <xdr:cNvSpPr/>
      </xdr:nvSpPr>
      <xdr:spPr>
        <a:xfrm>
          <a:off x="24955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43</xdr:col>
      <xdr:colOff>38100</xdr:colOff>
      <xdr:row>19</xdr:row>
      <xdr:rowOff>57150</xdr:rowOff>
    </xdr:from>
    <xdr:to>
      <xdr:col>43</xdr:col>
      <xdr:colOff>104775</xdr:colOff>
      <xdr:row>19</xdr:row>
      <xdr:rowOff>152400</xdr:rowOff>
    </xdr:to>
    <xdr:sp macro="" textlink="">
      <xdr:nvSpPr>
        <xdr:cNvPr id="619" name="Diagrama de flujo: conector 618">
          <a:extLst>
            <a:ext uri="{FF2B5EF4-FFF2-40B4-BE49-F238E27FC236}">
              <a16:creationId xmlns:a16="http://schemas.microsoft.com/office/drawing/2014/main" id="{9FF5C526-FFFC-4DA9-919A-6082658E49DF}"/>
            </a:ext>
          </a:extLst>
        </xdr:cNvPr>
        <xdr:cNvSpPr/>
      </xdr:nvSpPr>
      <xdr:spPr>
        <a:xfrm>
          <a:off x="24955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43</xdr:col>
      <xdr:colOff>38100</xdr:colOff>
      <xdr:row>20</xdr:row>
      <xdr:rowOff>57150</xdr:rowOff>
    </xdr:from>
    <xdr:to>
      <xdr:col>43</xdr:col>
      <xdr:colOff>104775</xdr:colOff>
      <xdr:row>20</xdr:row>
      <xdr:rowOff>152400</xdr:rowOff>
    </xdr:to>
    <xdr:sp macro="" textlink="">
      <xdr:nvSpPr>
        <xdr:cNvPr id="620" name="Diagrama de flujo: conector 619">
          <a:extLst>
            <a:ext uri="{FF2B5EF4-FFF2-40B4-BE49-F238E27FC236}">
              <a16:creationId xmlns:a16="http://schemas.microsoft.com/office/drawing/2014/main" id="{1B5BA580-2BF3-48DF-A830-8D9336E44D67}"/>
            </a:ext>
          </a:extLst>
        </xdr:cNvPr>
        <xdr:cNvSpPr/>
      </xdr:nvSpPr>
      <xdr:spPr>
        <a:xfrm>
          <a:off x="24955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43</xdr:col>
      <xdr:colOff>38100</xdr:colOff>
      <xdr:row>21</xdr:row>
      <xdr:rowOff>47625</xdr:rowOff>
    </xdr:from>
    <xdr:to>
      <xdr:col>43</xdr:col>
      <xdr:colOff>104775</xdr:colOff>
      <xdr:row>21</xdr:row>
      <xdr:rowOff>142875</xdr:rowOff>
    </xdr:to>
    <xdr:sp macro="" textlink="">
      <xdr:nvSpPr>
        <xdr:cNvPr id="622" name="Diagrama de flujo: conector 621">
          <a:extLst>
            <a:ext uri="{FF2B5EF4-FFF2-40B4-BE49-F238E27FC236}">
              <a16:creationId xmlns:a16="http://schemas.microsoft.com/office/drawing/2014/main" id="{6081CBD4-3F52-41C8-9474-58E0D776C0EC}"/>
            </a:ext>
          </a:extLst>
        </xdr:cNvPr>
        <xdr:cNvSpPr/>
      </xdr:nvSpPr>
      <xdr:spPr>
        <a:xfrm>
          <a:off x="24955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44</xdr:col>
      <xdr:colOff>38100</xdr:colOff>
      <xdr:row>14</xdr:row>
      <xdr:rowOff>57150</xdr:rowOff>
    </xdr:from>
    <xdr:to>
      <xdr:col>44</xdr:col>
      <xdr:colOff>104775</xdr:colOff>
      <xdr:row>14</xdr:row>
      <xdr:rowOff>152400</xdr:rowOff>
    </xdr:to>
    <xdr:sp macro="" textlink="">
      <xdr:nvSpPr>
        <xdr:cNvPr id="623" name="Diagrama de flujo: conector 622">
          <a:extLst>
            <a:ext uri="{FF2B5EF4-FFF2-40B4-BE49-F238E27FC236}">
              <a16:creationId xmlns:a16="http://schemas.microsoft.com/office/drawing/2014/main" id="{BAA7CFE8-CA8B-432F-A630-DAD6B4DC2323}"/>
            </a:ext>
          </a:extLst>
        </xdr:cNvPr>
        <xdr:cNvSpPr/>
      </xdr:nvSpPr>
      <xdr:spPr>
        <a:xfrm>
          <a:off x="26289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44</xdr:col>
      <xdr:colOff>38100</xdr:colOff>
      <xdr:row>15</xdr:row>
      <xdr:rowOff>57150</xdr:rowOff>
    </xdr:from>
    <xdr:to>
      <xdr:col>44</xdr:col>
      <xdr:colOff>104775</xdr:colOff>
      <xdr:row>15</xdr:row>
      <xdr:rowOff>152400</xdr:rowOff>
    </xdr:to>
    <xdr:sp macro="" textlink="">
      <xdr:nvSpPr>
        <xdr:cNvPr id="624" name="Diagrama de flujo: conector 623">
          <a:extLst>
            <a:ext uri="{FF2B5EF4-FFF2-40B4-BE49-F238E27FC236}">
              <a16:creationId xmlns:a16="http://schemas.microsoft.com/office/drawing/2014/main" id="{F7BDD74B-CDBB-45A7-BC68-BCF3C34B63C3}"/>
            </a:ext>
          </a:extLst>
        </xdr:cNvPr>
        <xdr:cNvSpPr/>
      </xdr:nvSpPr>
      <xdr:spPr>
        <a:xfrm>
          <a:off x="26289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44</xdr:col>
      <xdr:colOff>38100</xdr:colOff>
      <xdr:row>16</xdr:row>
      <xdr:rowOff>57150</xdr:rowOff>
    </xdr:from>
    <xdr:to>
      <xdr:col>44</xdr:col>
      <xdr:colOff>104775</xdr:colOff>
      <xdr:row>16</xdr:row>
      <xdr:rowOff>152400</xdr:rowOff>
    </xdr:to>
    <xdr:sp macro="" textlink="">
      <xdr:nvSpPr>
        <xdr:cNvPr id="625" name="Diagrama de flujo: conector 624">
          <a:extLst>
            <a:ext uri="{FF2B5EF4-FFF2-40B4-BE49-F238E27FC236}">
              <a16:creationId xmlns:a16="http://schemas.microsoft.com/office/drawing/2014/main" id="{DFE51797-46F8-4B74-8CF5-1C0548D31341}"/>
            </a:ext>
          </a:extLst>
        </xdr:cNvPr>
        <xdr:cNvSpPr/>
      </xdr:nvSpPr>
      <xdr:spPr>
        <a:xfrm>
          <a:off x="26289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44</xdr:col>
      <xdr:colOff>38100</xdr:colOff>
      <xdr:row>17</xdr:row>
      <xdr:rowOff>57150</xdr:rowOff>
    </xdr:from>
    <xdr:to>
      <xdr:col>44</xdr:col>
      <xdr:colOff>104775</xdr:colOff>
      <xdr:row>17</xdr:row>
      <xdr:rowOff>152400</xdr:rowOff>
    </xdr:to>
    <xdr:sp macro="" textlink="">
      <xdr:nvSpPr>
        <xdr:cNvPr id="626" name="Diagrama de flujo: conector 625">
          <a:extLst>
            <a:ext uri="{FF2B5EF4-FFF2-40B4-BE49-F238E27FC236}">
              <a16:creationId xmlns:a16="http://schemas.microsoft.com/office/drawing/2014/main" id="{761CC59D-4EC0-4849-B888-8E65F65BD977}"/>
            </a:ext>
          </a:extLst>
        </xdr:cNvPr>
        <xdr:cNvSpPr/>
      </xdr:nvSpPr>
      <xdr:spPr>
        <a:xfrm>
          <a:off x="26289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44</xdr:col>
      <xdr:colOff>38100</xdr:colOff>
      <xdr:row>18</xdr:row>
      <xdr:rowOff>47625</xdr:rowOff>
    </xdr:from>
    <xdr:to>
      <xdr:col>44</xdr:col>
      <xdr:colOff>104775</xdr:colOff>
      <xdr:row>18</xdr:row>
      <xdr:rowOff>142875</xdr:rowOff>
    </xdr:to>
    <xdr:sp macro="" textlink="">
      <xdr:nvSpPr>
        <xdr:cNvPr id="628" name="Diagrama de flujo: conector 627">
          <a:extLst>
            <a:ext uri="{FF2B5EF4-FFF2-40B4-BE49-F238E27FC236}">
              <a16:creationId xmlns:a16="http://schemas.microsoft.com/office/drawing/2014/main" id="{5730C172-6FF4-4F04-8C03-79980128D1FD}"/>
            </a:ext>
          </a:extLst>
        </xdr:cNvPr>
        <xdr:cNvSpPr/>
      </xdr:nvSpPr>
      <xdr:spPr>
        <a:xfrm>
          <a:off x="26289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44</xdr:col>
      <xdr:colOff>38100</xdr:colOff>
      <xdr:row>19</xdr:row>
      <xdr:rowOff>57150</xdr:rowOff>
    </xdr:from>
    <xdr:to>
      <xdr:col>44</xdr:col>
      <xdr:colOff>104775</xdr:colOff>
      <xdr:row>19</xdr:row>
      <xdr:rowOff>152400</xdr:rowOff>
    </xdr:to>
    <xdr:sp macro="" textlink="">
      <xdr:nvSpPr>
        <xdr:cNvPr id="629" name="Diagrama de flujo: conector 628">
          <a:extLst>
            <a:ext uri="{FF2B5EF4-FFF2-40B4-BE49-F238E27FC236}">
              <a16:creationId xmlns:a16="http://schemas.microsoft.com/office/drawing/2014/main" id="{1451FF7E-E08F-45B4-9F15-B75E41E45BFD}"/>
            </a:ext>
          </a:extLst>
        </xdr:cNvPr>
        <xdr:cNvSpPr/>
      </xdr:nvSpPr>
      <xdr:spPr>
        <a:xfrm>
          <a:off x="26289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44</xdr:col>
      <xdr:colOff>38100</xdr:colOff>
      <xdr:row>20</xdr:row>
      <xdr:rowOff>57150</xdr:rowOff>
    </xdr:from>
    <xdr:to>
      <xdr:col>44</xdr:col>
      <xdr:colOff>104775</xdr:colOff>
      <xdr:row>20</xdr:row>
      <xdr:rowOff>152400</xdr:rowOff>
    </xdr:to>
    <xdr:sp macro="" textlink="">
      <xdr:nvSpPr>
        <xdr:cNvPr id="630" name="Diagrama de flujo: conector 629">
          <a:extLst>
            <a:ext uri="{FF2B5EF4-FFF2-40B4-BE49-F238E27FC236}">
              <a16:creationId xmlns:a16="http://schemas.microsoft.com/office/drawing/2014/main" id="{AE8B68F1-877C-41FC-AE0E-A10726826907}"/>
            </a:ext>
          </a:extLst>
        </xdr:cNvPr>
        <xdr:cNvSpPr/>
      </xdr:nvSpPr>
      <xdr:spPr>
        <a:xfrm>
          <a:off x="26289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44</xdr:col>
      <xdr:colOff>38100</xdr:colOff>
      <xdr:row>21</xdr:row>
      <xdr:rowOff>47625</xdr:rowOff>
    </xdr:from>
    <xdr:to>
      <xdr:col>44</xdr:col>
      <xdr:colOff>104775</xdr:colOff>
      <xdr:row>21</xdr:row>
      <xdr:rowOff>142875</xdr:rowOff>
    </xdr:to>
    <xdr:sp macro="" textlink="">
      <xdr:nvSpPr>
        <xdr:cNvPr id="632" name="Diagrama de flujo: conector 631">
          <a:extLst>
            <a:ext uri="{FF2B5EF4-FFF2-40B4-BE49-F238E27FC236}">
              <a16:creationId xmlns:a16="http://schemas.microsoft.com/office/drawing/2014/main" id="{96291FCC-A919-4FF7-979E-A71A54B2D732}"/>
            </a:ext>
          </a:extLst>
        </xdr:cNvPr>
        <xdr:cNvSpPr/>
      </xdr:nvSpPr>
      <xdr:spPr>
        <a:xfrm>
          <a:off x="26289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45</xdr:col>
      <xdr:colOff>38100</xdr:colOff>
      <xdr:row>14</xdr:row>
      <xdr:rowOff>57150</xdr:rowOff>
    </xdr:from>
    <xdr:to>
      <xdr:col>45</xdr:col>
      <xdr:colOff>104775</xdr:colOff>
      <xdr:row>14</xdr:row>
      <xdr:rowOff>152400</xdr:rowOff>
    </xdr:to>
    <xdr:sp macro="" textlink="">
      <xdr:nvSpPr>
        <xdr:cNvPr id="633" name="Diagrama de flujo: conector 632">
          <a:extLst>
            <a:ext uri="{FF2B5EF4-FFF2-40B4-BE49-F238E27FC236}">
              <a16:creationId xmlns:a16="http://schemas.microsoft.com/office/drawing/2014/main" id="{49173932-C752-4B57-B923-A87167AB1C1A}"/>
            </a:ext>
          </a:extLst>
        </xdr:cNvPr>
        <xdr:cNvSpPr/>
      </xdr:nvSpPr>
      <xdr:spPr>
        <a:xfrm>
          <a:off x="27622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45</xdr:col>
      <xdr:colOff>38100</xdr:colOff>
      <xdr:row>15</xdr:row>
      <xdr:rowOff>57150</xdr:rowOff>
    </xdr:from>
    <xdr:to>
      <xdr:col>45</xdr:col>
      <xdr:colOff>104775</xdr:colOff>
      <xdr:row>15</xdr:row>
      <xdr:rowOff>152400</xdr:rowOff>
    </xdr:to>
    <xdr:sp macro="" textlink="">
      <xdr:nvSpPr>
        <xdr:cNvPr id="634" name="Diagrama de flujo: conector 633">
          <a:extLst>
            <a:ext uri="{FF2B5EF4-FFF2-40B4-BE49-F238E27FC236}">
              <a16:creationId xmlns:a16="http://schemas.microsoft.com/office/drawing/2014/main" id="{BF79C00E-D15B-4540-BFC4-02BE2990C2D1}"/>
            </a:ext>
          </a:extLst>
        </xdr:cNvPr>
        <xdr:cNvSpPr/>
      </xdr:nvSpPr>
      <xdr:spPr>
        <a:xfrm>
          <a:off x="27622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45</xdr:col>
      <xdr:colOff>38100</xdr:colOff>
      <xdr:row>16</xdr:row>
      <xdr:rowOff>57150</xdr:rowOff>
    </xdr:from>
    <xdr:to>
      <xdr:col>45</xdr:col>
      <xdr:colOff>104775</xdr:colOff>
      <xdr:row>16</xdr:row>
      <xdr:rowOff>152400</xdr:rowOff>
    </xdr:to>
    <xdr:sp macro="" textlink="">
      <xdr:nvSpPr>
        <xdr:cNvPr id="635" name="Diagrama de flujo: conector 634">
          <a:extLst>
            <a:ext uri="{FF2B5EF4-FFF2-40B4-BE49-F238E27FC236}">
              <a16:creationId xmlns:a16="http://schemas.microsoft.com/office/drawing/2014/main" id="{3B58C390-EF97-4379-8BC5-5DFA75F37319}"/>
            </a:ext>
          </a:extLst>
        </xdr:cNvPr>
        <xdr:cNvSpPr/>
      </xdr:nvSpPr>
      <xdr:spPr>
        <a:xfrm>
          <a:off x="27622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45</xdr:col>
      <xdr:colOff>38100</xdr:colOff>
      <xdr:row>17</xdr:row>
      <xdr:rowOff>57150</xdr:rowOff>
    </xdr:from>
    <xdr:to>
      <xdr:col>45</xdr:col>
      <xdr:colOff>104775</xdr:colOff>
      <xdr:row>17</xdr:row>
      <xdr:rowOff>152400</xdr:rowOff>
    </xdr:to>
    <xdr:sp macro="" textlink="">
      <xdr:nvSpPr>
        <xdr:cNvPr id="636" name="Diagrama de flujo: conector 635">
          <a:extLst>
            <a:ext uri="{FF2B5EF4-FFF2-40B4-BE49-F238E27FC236}">
              <a16:creationId xmlns:a16="http://schemas.microsoft.com/office/drawing/2014/main" id="{912482AC-C4DE-4941-9687-B97A51412713}"/>
            </a:ext>
          </a:extLst>
        </xdr:cNvPr>
        <xdr:cNvSpPr/>
      </xdr:nvSpPr>
      <xdr:spPr>
        <a:xfrm>
          <a:off x="27622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45</xdr:col>
      <xdr:colOff>38100</xdr:colOff>
      <xdr:row>18</xdr:row>
      <xdr:rowOff>47625</xdr:rowOff>
    </xdr:from>
    <xdr:to>
      <xdr:col>45</xdr:col>
      <xdr:colOff>104775</xdr:colOff>
      <xdr:row>18</xdr:row>
      <xdr:rowOff>142875</xdr:rowOff>
    </xdr:to>
    <xdr:sp macro="" textlink="">
      <xdr:nvSpPr>
        <xdr:cNvPr id="638" name="Diagrama de flujo: conector 637">
          <a:extLst>
            <a:ext uri="{FF2B5EF4-FFF2-40B4-BE49-F238E27FC236}">
              <a16:creationId xmlns:a16="http://schemas.microsoft.com/office/drawing/2014/main" id="{97112B66-4575-4E70-8913-2974FEF9EE86}"/>
            </a:ext>
          </a:extLst>
        </xdr:cNvPr>
        <xdr:cNvSpPr/>
      </xdr:nvSpPr>
      <xdr:spPr>
        <a:xfrm>
          <a:off x="27622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45</xdr:col>
      <xdr:colOff>38100</xdr:colOff>
      <xdr:row>19</xdr:row>
      <xdr:rowOff>57150</xdr:rowOff>
    </xdr:from>
    <xdr:to>
      <xdr:col>45</xdr:col>
      <xdr:colOff>104775</xdr:colOff>
      <xdr:row>19</xdr:row>
      <xdr:rowOff>152400</xdr:rowOff>
    </xdr:to>
    <xdr:sp macro="" textlink="">
      <xdr:nvSpPr>
        <xdr:cNvPr id="639" name="Diagrama de flujo: conector 638">
          <a:extLst>
            <a:ext uri="{FF2B5EF4-FFF2-40B4-BE49-F238E27FC236}">
              <a16:creationId xmlns:a16="http://schemas.microsoft.com/office/drawing/2014/main" id="{85721B5D-50F7-480A-9C87-DAAAF909B360}"/>
            </a:ext>
          </a:extLst>
        </xdr:cNvPr>
        <xdr:cNvSpPr/>
      </xdr:nvSpPr>
      <xdr:spPr>
        <a:xfrm>
          <a:off x="27622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45</xdr:col>
      <xdr:colOff>38100</xdr:colOff>
      <xdr:row>20</xdr:row>
      <xdr:rowOff>57150</xdr:rowOff>
    </xdr:from>
    <xdr:to>
      <xdr:col>45</xdr:col>
      <xdr:colOff>104775</xdr:colOff>
      <xdr:row>20</xdr:row>
      <xdr:rowOff>152400</xdr:rowOff>
    </xdr:to>
    <xdr:sp macro="" textlink="">
      <xdr:nvSpPr>
        <xdr:cNvPr id="640" name="Diagrama de flujo: conector 639">
          <a:extLst>
            <a:ext uri="{FF2B5EF4-FFF2-40B4-BE49-F238E27FC236}">
              <a16:creationId xmlns:a16="http://schemas.microsoft.com/office/drawing/2014/main" id="{5050A17C-8C56-4637-95D2-3516398513FC}"/>
            </a:ext>
          </a:extLst>
        </xdr:cNvPr>
        <xdr:cNvSpPr/>
      </xdr:nvSpPr>
      <xdr:spPr>
        <a:xfrm>
          <a:off x="27622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45</xdr:col>
      <xdr:colOff>38100</xdr:colOff>
      <xdr:row>21</xdr:row>
      <xdr:rowOff>47625</xdr:rowOff>
    </xdr:from>
    <xdr:to>
      <xdr:col>45</xdr:col>
      <xdr:colOff>104775</xdr:colOff>
      <xdr:row>21</xdr:row>
      <xdr:rowOff>142875</xdr:rowOff>
    </xdr:to>
    <xdr:sp macro="" textlink="">
      <xdr:nvSpPr>
        <xdr:cNvPr id="642" name="Diagrama de flujo: conector 641">
          <a:extLst>
            <a:ext uri="{FF2B5EF4-FFF2-40B4-BE49-F238E27FC236}">
              <a16:creationId xmlns:a16="http://schemas.microsoft.com/office/drawing/2014/main" id="{6B61A96D-6201-4DB4-8790-16A4C8946B10}"/>
            </a:ext>
          </a:extLst>
        </xdr:cNvPr>
        <xdr:cNvSpPr/>
      </xdr:nvSpPr>
      <xdr:spPr>
        <a:xfrm>
          <a:off x="27622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46</xdr:col>
      <xdr:colOff>38100</xdr:colOff>
      <xdr:row>14</xdr:row>
      <xdr:rowOff>57150</xdr:rowOff>
    </xdr:from>
    <xdr:to>
      <xdr:col>46</xdr:col>
      <xdr:colOff>104775</xdr:colOff>
      <xdr:row>14</xdr:row>
      <xdr:rowOff>152400</xdr:rowOff>
    </xdr:to>
    <xdr:sp macro="" textlink="">
      <xdr:nvSpPr>
        <xdr:cNvPr id="643" name="Diagrama de flujo: conector 642">
          <a:extLst>
            <a:ext uri="{FF2B5EF4-FFF2-40B4-BE49-F238E27FC236}">
              <a16:creationId xmlns:a16="http://schemas.microsoft.com/office/drawing/2014/main" id="{48FC81B4-BA05-49D9-821B-B80831E45948}"/>
            </a:ext>
          </a:extLst>
        </xdr:cNvPr>
        <xdr:cNvSpPr/>
      </xdr:nvSpPr>
      <xdr:spPr>
        <a:xfrm>
          <a:off x="28956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46</xdr:col>
      <xdr:colOff>38100</xdr:colOff>
      <xdr:row>15</xdr:row>
      <xdr:rowOff>57150</xdr:rowOff>
    </xdr:from>
    <xdr:to>
      <xdr:col>46</xdr:col>
      <xdr:colOff>104775</xdr:colOff>
      <xdr:row>15</xdr:row>
      <xdr:rowOff>152400</xdr:rowOff>
    </xdr:to>
    <xdr:sp macro="" textlink="">
      <xdr:nvSpPr>
        <xdr:cNvPr id="644" name="Diagrama de flujo: conector 643">
          <a:extLst>
            <a:ext uri="{FF2B5EF4-FFF2-40B4-BE49-F238E27FC236}">
              <a16:creationId xmlns:a16="http://schemas.microsoft.com/office/drawing/2014/main" id="{632E666D-F366-4CDC-8FB9-69779C755DA5}"/>
            </a:ext>
          </a:extLst>
        </xdr:cNvPr>
        <xdr:cNvSpPr/>
      </xdr:nvSpPr>
      <xdr:spPr>
        <a:xfrm>
          <a:off x="28956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46</xdr:col>
      <xdr:colOff>38100</xdr:colOff>
      <xdr:row>16</xdr:row>
      <xdr:rowOff>57150</xdr:rowOff>
    </xdr:from>
    <xdr:to>
      <xdr:col>46</xdr:col>
      <xdr:colOff>104775</xdr:colOff>
      <xdr:row>16</xdr:row>
      <xdr:rowOff>152400</xdr:rowOff>
    </xdr:to>
    <xdr:sp macro="" textlink="">
      <xdr:nvSpPr>
        <xdr:cNvPr id="645" name="Diagrama de flujo: conector 644">
          <a:extLst>
            <a:ext uri="{FF2B5EF4-FFF2-40B4-BE49-F238E27FC236}">
              <a16:creationId xmlns:a16="http://schemas.microsoft.com/office/drawing/2014/main" id="{8D0C9A4E-8EB6-4D63-9219-16BC2B4A6B03}"/>
            </a:ext>
          </a:extLst>
        </xdr:cNvPr>
        <xdr:cNvSpPr/>
      </xdr:nvSpPr>
      <xdr:spPr>
        <a:xfrm>
          <a:off x="28956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46</xdr:col>
      <xdr:colOff>38100</xdr:colOff>
      <xdr:row>17</xdr:row>
      <xdr:rowOff>57150</xdr:rowOff>
    </xdr:from>
    <xdr:to>
      <xdr:col>46</xdr:col>
      <xdr:colOff>104775</xdr:colOff>
      <xdr:row>17</xdr:row>
      <xdr:rowOff>152400</xdr:rowOff>
    </xdr:to>
    <xdr:sp macro="" textlink="">
      <xdr:nvSpPr>
        <xdr:cNvPr id="646" name="Diagrama de flujo: conector 645">
          <a:extLst>
            <a:ext uri="{FF2B5EF4-FFF2-40B4-BE49-F238E27FC236}">
              <a16:creationId xmlns:a16="http://schemas.microsoft.com/office/drawing/2014/main" id="{0984F11B-AEAB-4EB6-A6BB-BADDAB8F9FB7}"/>
            </a:ext>
          </a:extLst>
        </xdr:cNvPr>
        <xdr:cNvSpPr/>
      </xdr:nvSpPr>
      <xdr:spPr>
        <a:xfrm>
          <a:off x="28956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46</xdr:col>
      <xdr:colOff>38100</xdr:colOff>
      <xdr:row>18</xdr:row>
      <xdr:rowOff>47625</xdr:rowOff>
    </xdr:from>
    <xdr:to>
      <xdr:col>46</xdr:col>
      <xdr:colOff>104775</xdr:colOff>
      <xdr:row>18</xdr:row>
      <xdr:rowOff>142875</xdr:rowOff>
    </xdr:to>
    <xdr:sp macro="" textlink="">
      <xdr:nvSpPr>
        <xdr:cNvPr id="648" name="Diagrama de flujo: conector 647">
          <a:extLst>
            <a:ext uri="{FF2B5EF4-FFF2-40B4-BE49-F238E27FC236}">
              <a16:creationId xmlns:a16="http://schemas.microsoft.com/office/drawing/2014/main" id="{3DAEA9D4-059A-40E2-95F0-389CFA6A179D}"/>
            </a:ext>
          </a:extLst>
        </xdr:cNvPr>
        <xdr:cNvSpPr/>
      </xdr:nvSpPr>
      <xdr:spPr>
        <a:xfrm>
          <a:off x="28956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46</xdr:col>
      <xdr:colOff>38100</xdr:colOff>
      <xdr:row>19</xdr:row>
      <xdr:rowOff>57150</xdr:rowOff>
    </xdr:from>
    <xdr:to>
      <xdr:col>46</xdr:col>
      <xdr:colOff>104775</xdr:colOff>
      <xdr:row>19</xdr:row>
      <xdr:rowOff>152400</xdr:rowOff>
    </xdr:to>
    <xdr:sp macro="" textlink="">
      <xdr:nvSpPr>
        <xdr:cNvPr id="649" name="Diagrama de flujo: conector 648">
          <a:extLst>
            <a:ext uri="{FF2B5EF4-FFF2-40B4-BE49-F238E27FC236}">
              <a16:creationId xmlns:a16="http://schemas.microsoft.com/office/drawing/2014/main" id="{9EA6CB4A-3F39-4970-A63C-167553B20C62}"/>
            </a:ext>
          </a:extLst>
        </xdr:cNvPr>
        <xdr:cNvSpPr/>
      </xdr:nvSpPr>
      <xdr:spPr>
        <a:xfrm>
          <a:off x="28956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46</xdr:col>
      <xdr:colOff>38100</xdr:colOff>
      <xdr:row>20</xdr:row>
      <xdr:rowOff>57150</xdr:rowOff>
    </xdr:from>
    <xdr:to>
      <xdr:col>46</xdr:col>
      <xdr:colOff>104775</xdr:colOff>
      <xdr:row>20</xdr:row>
      <xdr:rowOff>152400</xdr:rowOff>
    </xdr:to>
    <xdr:sp macro="" textlink="">
      <xdr:nvSpPr>
        <xdr:cNvPr id="650" name="Diagrama de flujo: conector 649">
          <a:extLst>
            <a:ext uri="{FF2B5EF4-FFF2-40B4-BE49-F238E27FC236}">
              <a16:creationId xmlns:a16="http://schemas.microsoft.com/office/drawing/2014/main" id="{A29F9030-E02C-42FE-9B42-77D03C192E11}"/>
            </a:ext>
          </a:extLst>
        </xdr:cNvPr>
        <xdr:cNvSpPr/>
      </xdr:nvSpPr>
      <xdr:spPr>
        <a:xfrm>
          <a:off x="28956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46</xdr:col>
      <xdr:colOff>38100</xdr:colOff>
      <xdr:row>21</xdr:row>
      <xdr:rowOff>47625</xdr:rowOff>
    </xdr:from>
    <xdr:to>
      <xdr:col>46</xdr:col>
      <xdr:colOff>104775</xdr:colOff>
      <xdr:row>21</xdr:row>
      <xdr:rowOff>142875</xdr:rowOff>
    </xdr:to>
    <xdr:sp macro="" textlink="">
      <xdr:nvSpPr>
        <xdr:cNvPr id="652" name="Diagrama de flujo: conector 651">
          <a:extLst>
            <a:ext uri="{FF2B5EF4-FFF2-40B4-BE49-F238E27FC236}">
              <a16:creationId xmlns:a16="http://schemas.microsoft.com/office/drawing/2014/main" id="{429147B4-EAEF-4E1C-86E4-973CDA5960C0}"/>
            </a:ext>
          </a:extLst>
        </xdr:cNvPr>
        <xdr:cNvSpPr/>
      </xdr:nvSpPr>
      <xdr:spPr>
        <a:xfrm>
          <a:off x="28956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39</xdr:col>
      <xdr:colOff>38100</xdr:colOff>
      <xdr:row>14</xdr:row>
      <xdr:rowOff>57150</xdr:rowOff>
    </xdr:from>
    <xdr:to>
      <xdr:col>39</xdr:col>
      <xdr:colOff>104775</xdr:colOff>
      <xdr:row>14</xdr:row>
      <xdr:rowOff>152400</xdr:rowOff>
    </xdr:to>
    <xdr:sp macro="" textlink="">
      <xdr:nvSpPr>
        <xdr:cNvPr id="653" name="Diagrama de flujo: conector 652">
          <a:extLst>
            <a:ext uri="{FF2B5EF4-FFF2-40B4-BE49-F238E27FC236}">
              <a16:creationId xmlns:a16="http://schemas.microsoft.com/office/drawing/2014/main" id="{CD389AA1-C00E-48FE-956D-8023011A9EC8}"/>
            </a:ext>
          </a:extLst>
        </xdr:cNvPr>
        <xdr:cNvSpPr/>
      </xdr:nvSpPr>
      <xdr:spPr>
        <a:xfrm>
          <a:off x="19621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39</xdr:col>
      <xdr:colOff>38100</xdr:colOff>
      <xdr:row>15</xdr:row>
      <xdr:rowOff>57150</xdr:rowOff>
    </xdr:from>
    <xdr:to>
      <xdr:col>39</xdr:col>
      <xdr:colOff>104775</xdr:colOff>
      <xdr:row>15</xdr:row>
      <xdr:rowOff>152400</xdr:rowOff>
    </xdr:to>
    <xdr:sp macro="" textlink="">
      <xdr:nvSpPr>
        <xdr:cNvPr id="654" name="Diagrama de flujo: conector 653">
          <a:extLst>
            <a:ext uri="{FF2B5EF4-FFF2-40B4-BE49-F238E27FC236}">
              <a16:creationId xmlns:a16="http://schemas.microsoft.com/office/drawing/2014/main" id="{598662F0-8746-453A-B04D-384477C14B6D}"/>
            </a:ext>
          </a:extLst>
        </xdr:cNvPr>
        <xdr:cNvSpPr/>
      </xdr:nvSpPr>
      <xdr:spPr>
        <a:xfrm>
          <a:off x="19621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39</xdr:col>
      <xdr:colOff>38100</xdr:colOff>
      <xdr:row>16</xdr:row>
      <xdr:rowOff>57150</xdr:rowOff>
    </xdr:from>
    <xdr:to>
      <xdr:col>39</xdr:col>
      <xdr:colOff>104775</xdr:colOff>
      <xdr:row>16</xdr:row>
      <xdr:rowOff>152400</xdr:rowOff>
    </xdr:to>
    <xdr:sp macro="" textlink="">
      <xdr:nvSpPr>
        <xdr:cNvPr id="655" name="Diagrama de flujo: conector 654">
          <a:extLst>
            <a:ext uri="{FF2B5EF4-FFF2-40B4-BE49-F238E27FC236}">
              <a16:creationId xmlns:a16="http://schemas.microsoft.com/office/drawing/2014/main" id="{FC7CB433-5E61-4C21-B175-73A1BE3510C2}"/>
            </a:ext>
          </a:extLst>
        </xdr:cNvPr>
        <xdr:cNvSpPr/>
      </xdr:nvSpPr>
      <xdr:spPr>
        <a:xfrm>
          <a:off x="19621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39</xdr:col>
      <xdr:colOff>38100</xdr:colOff>
      <xdr:row>17</xdr:row>
      <xdr:rowOff>57150</xdr:rowOff>
    </xdr:from>
    <xdr:to>
      <xdr:col>39</xdr:col>
      <xdr:colOff>104775</xdr:colOff>
      <xdr:row>17</xdr:row>
      <xdr:rowOff>152400</xdr:rowOff>
    </xdr:to>
    <xdr:sp macro="" textlink="">
      <xdr:nvSpPr>
        <xdr:cNvPr id="656" name="Diagrama de flujo: conector 655">
          <a:extLst>
            <a:ext uri="{FF2B5EF4-FFF2-40B4-BE49-F238E27FC236}">
              <a16:creationId xmlns:a16="http://schemas.microsoft.com/office/drawing/2014/main" id="{A95094E8-CC2D-4F04-ADA2-8CEEDADA89BD}"/>
            </a:ext>
          </a:extLst>
        </xdr:cNvPr>
        <xdr:cNvSpPr/>
      </xdr:nvSpPr>
      <xdr:spPr>
        <a:xfrm>
          <a:off x="19621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39</xdr:col>
      <xdr:colOff>38100</xdr:colOff>
      <xdr:row>18</xdr:row>
      <xdr:rowOff>47625</xdr:rowOff>
    </xdr:from>
    <xdr:to>
      <xdr:col>39</xdr:col>
      <xdr:colOff>104775</xdr:colOff>
      <xdr:row>18</xdr:row>
      <xdr:rowOff>142875</xdr:rowOff>
    </xdr:to>
    <xdr:sp macro="" textlink="">
      <xdr:nvSpPr>
        <xdr:cNvPr id="658" name="Diagrama de flujo: conector 657">
          <a:extLst>
            <a:ext uri="{FF2B5EF4-FFF2-40B4-BE49-F238E27FC236}">
              <a16:creationId xmlns:a16="http://schemas.microsoft.com/office/drawing/2014/main" id="{89B05B9D-7F23-4B7A-AF32-E51E56B993EE}"/>
            </a:ext>
          </a:extLst>
        </xdr:cNvPr>
        <xdr:cNvSpPr/>
      </xdr:nvSpPr>
      <xdr:spPr>
        <a:xfrm>
          <a:off x="19621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39</xdr:col>
      <xdr:colOff>38100</xdr:colOff>
      <xdr:row>19</xdr:row>
      <xdr:rowOff>57150</xdr:rowOff>
    </xdr:from>
    <xdr:to>
      <xdr:col>39</xdr:col>
      <xdr:colOff>104775</xdr:colOff>
      <xdr:row>19</xdr:row>
      <xdr:rowOff>152400</xdr:rowOff>
    </xdr:to>
    <xdr:sp macro="" textlink="">
      <xdr:nvSpPr>
        <xdr:cNvPr id="659" name="Diagrama de flujo: conector 658">
          <a:extLst>
            <a:ext uri="{FF2B5EF4-FFF2-40B4-BE49-F238E27FC236}">
              <a16:creationId xmlns:a16="http://schemas.microsoft.com/office/drawing/2014/main" id="{8CEB262D-109E-4E22-AEFD-F3F2326BA143}"/>
            </a:ext>
          </a:extLst>
        </xdr:cNvPr>
        <xdr:cNvSpPr/>
      </xdr:nvSpPr>
      <xdr:spPr>
        <a:xfrm>
          <a:off x="19621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39</xdr:col>
      <xdr:colOff>38100</xdr:colOff>
      <xdr:row>20</xdr:row>
      <xdr:rowOff>57150</xdr:rowOff>
    </xdr:from>
    <xdr:to>
      <xdr:col>39</xdr:col>
      <xdr:colOff>104775</xdr:colOff>
      <xdr:row>20</xdr:row>
      <xdr:rowOff>152400</xdr:rowOff>
    </xdr:to>
    <xdr:sp macro="" textlink="">
      <xdr:nvSpPr>
        <xdr:cNvPr id="660" name="Diagrama de flujo: conector 659">
          <a:extLst>
            <a:ext uri="{FF2B5EF4-FFF2-40B4-BE49-F238E27FC236}">
              <a16:creationId xmlns:a16="http://schemas.microsoft.com/office/drawing/2014/main" id="{70A374B7-1C2E-4215-983C-D7D810CBCB7C}"/>
            </a:ext>
          </a:extLst>
        </xdr:cNvPr>
        <xdr:cNvSpPr/>
      </xdr:nvSpPr>
      <xdr:spPr>
        <a:xfrm>
          <a:off x="19621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39</xdr:col>
      <xdr:colOff>38100</xdr:colOff>
      <xdr:row>21</xdr:row>
      <xdr:rowOff>47625</xdr:rowOff>
    </xdr:from>
    <xdr:to>
      <xdr:col>39</xdr:col>
      <xdr:colOff>104775</xdr:colOff>
      <xdr:row>21</xdr:row>
      <xdr:rowOff>142875</xdr:rowOff>
    </xdr:to>
    <xdr:sp macro="" textlink="">
      <xdr:nvSpPr>
        <xdr:cNvPr id="662" name="Diagrama de flujo: conector 661">
          <a:extLst>
            <a:ext uri="{FF2B5EF4-FFF2-40B4-BE49-F238E27FC236}">
              <a16:creationId xmlns:a16="http://schemas.microsoft.com/office/drawing/2014/main" id="{705CB6BD-D30E-4CB8-8147-FD612F00F560}"/>
            </a:ext>
          </a:extLst>
        </xdr:cNvPr>
        <xdr:cNvSpPr/>
      </xdr:nvSpPr>
      <xdr:spPr>
        <a:xfrm>
          <a:off x="19621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28</xdr:col>
      <xdr:colOff>38100</xdr:colOff>
      <xdr:row>14</xdr:row>
      <xdr:rowOff>57150</xdr:rowOff>
    </xdr:from>
    <xdr:to>
      <xdr:col>28</xdr:col>
      <xdr:colOff>104775</xdr:colOff>
      <xdr:row>14</xdr:row>
      <xdr:rowOff>152400</xdr:rowOff>
    </xdr:to>
    <xdr:sp macro="" textlink="">
      <xdr:nvSpPr>
        <xdr:cNvPr id="663" name="Diagrama de flujo: conector 662">
          <a:extLst>
            <a:ext uri="{FF2B5EF4-FFF2-40B4-BE49-F238E27FC236}">
              <a16:creationId xmlns:a16="http://schemas.microsoft.com/office/drawing/2014/main" id="{9F7829E0-941F-48BD-A26C-F4B4B28C0AB5}"/>
            </a:ext>
          </a:extLst>
        </xdr:cNvPr>
        <xdr:cNvSpPr/>
      </xdr:nvSpPr>
      <xdr:spPr>
        <a:xfrm>
          <a:off x="20955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28</xdr:col>
      <xdr:colOff>38100</xdr:colOff>
      <xdr:row>15</xdr:row>
      <xdr:rowOff>57150</xdr:rowOff>
    </xdr:from>
    <xdr:to>
      <xdr:col>28</xdr:col>
      <xdr:colOff>104775</xdr:colOff>
      <xdr:row>15</xdr:row>
      <xdr:rowOff>152400</xdr:rowOff>
    </xdr:to>
    <xdr:sp macro="" textlink="">
      <xdr:nvSpPr>
        <xdr:cNvPr id="664" name="Diagrama de flujo: conector 663">
          <a:extLst>
            <a:ext uri="{FF2B5EF4-FFF2-40B4-BE49-F238E27FC236}">
              <a16:creationId xmlns:a16="http://schemas.microsoft.com/office/drawing/2014/main" id="{3FE1F9B9-732A-4C31-BFF5-04A08A67BE2B}"/>
            </a:ext>
          </a:extLst>
        </xdr:cNvPr>
        <xdr:cNvSpPr/>
      </xdr:nvSpPr>
      <xdr:spPr>
        <a:xfrm>
          <a:off x="20955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28</xdr:col>
      <xdr:colOff>38100</xdr:colOff>
      <xdr:row>16</xdr:row>
      <xdr:rowOff>57150</xdr:rowOff>
    </xdr:from>
    <xdr:to>
      <xdr:col>28</xdr:col>
      <xdr:colOff>104775</xdr:colOff>
      <xdr:row>16</xdr:row>
      <xdr:rowOff>152400</xdr:rowOff>
    </xdr:to>
    <xdr:sp macro="" textlink="">
      <xdr:nvSpPr>
        <xdr:cNvPr id="665" name="Diagrama de flujo: conector 664">
          <a:extLst>
            <a:ext uri="{FF2B5EF4-FFF2-40B4-BE49-F238E27FC236}">
              <a16:creationId xmlns:a16="http://schemas.microsoft.com/office/drawing/2014/main" id="{FDCE14CA-6B28-4A9A-A6B7-F2873967C474}"/>
            </a:ext>
          </a:extLst>
        </xdr:cNvPr>
        <xdr:cNvSpPr/>
      </xdr:nvSpPr>
      <xdr:spPr>
        <a:xfrm>
          <a:off x="20955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28</xdr:col>
      <xdr:colOff>38100</xdr:colOff>
      <xdr:row>17</xdr:row>
      <xdr:rowOff>57150</xdr:rowOff>
    </xdr:from>
    <xdr:to>
      <xdr:col>28</xdr:col>
      <xdr:colOff>104775</xdr:colOff>
      <xdr:row>17</xdr:row>
      <xdr:rowOff>152400</xdr:rowOff>
    </xdr:to>
    <xdr:sp macro="" textlink="">
      <xdr:nvSpPr>
        <xdr:cNvPr id="666" name="Diagrama de flujo: conector 665">
          <a:extLst>
            <a:ext uri="{FF2B5EF4-FFF2-40B4-BE49-F238E27FC236}">
              <a16:creationId xmlns:a16="http://schemas.microsoft.com/office/drawing/2014/main" id="{D5978989-C865-4769-9E20-1000CF5554DE}"/>
            </a:ext>
          </a:extLst>
        </xdr:cNvPr>
        <xdr:cNvSpPr/>
      </xdr:nvSpPr>
      <xdr:spPr>
        <a:xfrm>
          <a:off x="20955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28</xdr:col>
      <xdr:colOff>38100</xdr:colOff>
      <xdr:row>18</xdr:row>
      <xdr:rowOff>47625</xdr:rowOff>
    </xdr:from>
    <xdr:to>
      <xdr:col>28</xdr:col>
      <xdr:colOff>104775</xdr:colOff>
      <xdr:row>18</xdr:row>
      <xdr:rowOff>142875</xdr:rowOff>
    </xdr:to>
    <xdr:sp macro="" textlink="">
      <xdr:nvSpPr>
        <xdr:cNvPr id="668" name="Diagrama de flujo: conector 667">
          <a:extLst>
            <a:ext uri="{FF2B5EF4-FFF2-40B4-BE49-F238E27FC236}">
              <a16:creationId xmlns:a16="http://schemas.microsoft.com/office/drawing/2014/main" id="{F49F1B1A-0D55-4CBE-9EDB-70467936AB33}"/>
            </a:ext>
          </a:extLst>
        </xdr:cNvPr>
        <xdr:cNvSpPr/>
      </xdr:nvSpPr>
      <xdr:spPr>
        <a:xfrm>
          <a:off x="20955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28</xdr:col>
      <xdr:colOff>38100</xdr:colOff>
      <xdr:row>19</xdr:row>
      <xdr:rowOff>57150</xdr:rowOff>
    </xdr:from>
    <xdr:to>
      <xdr:col>28</xdr:col>
      <xdr:colOff>104775</xdr:colOff>
      <xdr:row>19</xdr:row>
      <xdr:rowOff>152400</xdr:rowOff>
    </xdr:to>
    <xdr:sp macro="" textlink="">
      <xdr:nvSpPr>
        <xdr:cNvPr id="669" name="Diagrama de flujo: conector 668">
          <a:extLst>
            <a:ext uri="{FF2B5EF4-FFF2-40B4-BE49-F238E27FC236}">
              <a16:creationId xmlns:a16="http://schemas.microsoft.com/office/drawing/2014/main" id="{2EA51FEA-D272-4C5B-8389-89783286DC39}"/>
            </a:ext>
          </a:extLst>
        </xdr:cNvPr>
        <xdr:cNvSpPr/>
      </xdr:nvSpPr>
      <xdr:spPr>
        <a:xfrm>
          <a:off x="20955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28</xdr:col>
      <xdr:colOff>38100</xdr:colOff>
      <xdr:row>20</xdr:row>
      <xdr:rowOff>57150</xdr:rowOff>
    </xdr:from>
    <xdr:to>
      <xdr:col>28</xdr:col>
      <xdr:colOff>104775</xdr:colOff>
      <xdr:row>20</xdr:row>
      <xdr:rowOff>152400</xdr:rowOff>
    </xdr:to>
    <xdr:sp macro="" textlink="">
      <xdr:nvSpPr>
        <xdr:cNvPr id="670" name="Diagrama de flujo: conector 669">
          <a:extLst>
            <a:ext uri="{FF2B5EF4-FFF2-40B4-BE49-F238E27FC236}">
              <a16:creationId xmlns:a16="http://schemas.microsoft.com/office/drawing/2014/main" id="{9727715E-AFCF-4CAA-B63D-007CB2FFE4A8}"/>
            </a:ext>
          </a:extLst>
        </xdr:cNvPr>
        <xdr:cNvSpPr/>
      </xdr:nvSpPr>
      <xdr:spPr>
        <a:xfrm>
          <a:off x="20955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28</xdr:col>
      <xdr:colOff>38100</xdr:colOff>
      <xdr:row>21</xdr:row>
      <xdr:rowOff>47625</xdr:rowOff>
    </xdr:from>
    <xdr:to>
      <xdr:col>28</xdr:col>
      <xdr:colOff>104775</xdr:colOff>
      <xdr:row>21</xdr:row>
      <xdr:rowOff>142875</xdr:rowOff>
    </xdr:to>
    <xdr:sp macro="" textlink="">
      <xdr:nvSpPr>
        <xdr:cNvPr id="672" name="Diagrama de flujo: conector 671">
          <a:extLst>
            <a:ext uri="{FF2B5EF4-FFF2-40B4-BE49-F238E27FC236}">
              <a16:creationId xmlns:a16="http://schemas.microsoft.com/office/drawing/2014/main" id="{949CB98F-AFBB-4B1F-981B-7A7F629CAA8F}"/>
            </a:ext>
          </a:extLst>
        </xdr:cNvPr>
        <xdr:cNvSpPr/>
      </xdr:nvSpPr>
      <xdr:spPr>
        <a:xfrm>
          <a:off x="20955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29</xdr:col>
      <xdr:colOff>38100</xdr:colOff>
      <xdr:row>14</xdr:row>
      <xdr:rowOff>57150</xdr:rowOff>
    </xdr:from>
    <xdr:to>
      <xdr:col>29</xdr:col>
      <xdr:colOff>104775</xdr:colOff>
      <xdr:row>14</xdr:row>
      <xdr:rowOff>152400</xdr:rowOff>
    </xdr:to>
    <xdr:sp macro="" textlink="">
      <xdr:nvSpPr>
        <xdr:cNvPr id="673" name="Diagrama de flujo: conector 672">
          <a:extLst>
            <a:ext uri="{FF2B5EF4-FFF2-40B4-BE49-F238E27FC236}">
              <a16:creationId xmlns:a16="http://schemas.microsoft.com/office/drawing/2014/main" id="{9F5E4D75-8473-45FA-9B89-B1FA117B3C99}"/>
            </a:ext>
          </a:extLst>
        </xdr:cNvPr>
        <xdr:cNvSpPr/>
      </xdr:nvSpPr>
      <xdr:spPr>
        <a:xfrm>
          <a:off x="22288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29</xdr:col>
      <xdr:colOff>38100</xdr:colOff>
      <xdr:row>15</xdr:row>
      <xdr:rowOff>57150</xdr:rowOff>
    </xdr:from>
    <xdr:to>
      <xdr:col>29</xdr:col>
      <xdr:colOff>104775</xdr:colOff>
      <xdr:row>15</xdr:row>
      <xdr:rowOff>152400</xdr:rowOff>
    </xdr:to>
    <xdr:sp macro="" textlink="">
      <xdr:nvSpPr>
        <xdr:cNvPr id="674" name="Diagrama de flujo: conector 673">
          <a:extLst>
            <a:ext uri="{FF2B5EF4-FFF2-40B4-BE49-F238E27FC236}">
              <a16:creationId xmlns:a16="http://schemas.microsoft.com/office/drawing/2014/main" id="{57910C8E-CF2C-4162-917F-E3A59C452207}"/>
            </a:ext>
          </a:extLst>
        </xdr:cNvPr>
        <xdr:cNvSpPr/>
      </xdr:nvSpPr>
      <xdr:spPr>
        <a:xfrm>
          <a:off x="22288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29</xdr:col>
      <xdr:colOff>38100</xdr:colOff>
      <xdr:row>16</xdr:row>
      <xdr:rowOff>57150</xdr:rowOff>
    </xdr:from>
    <xdr:to>
      <xdr:col>29</xdr:col>
      <xdr:colOff>104775</xdr:colOff>
      <xdr:row>16</xdr:row>
      <xdr:rowOff>152400</xdr:rowOff>
    </xdr:to>
    <xdr:sp macro="" textlink="">
      <xdr:nvSpPr>
        <xdr:cNvPr id="675" name="Diagrama de flujo: conector 674">
          <a:extLst>
            <a:ext uri="{FF2B5EF4-FFF2-40B4-BE49-F238E27FC236}">
              <a16:creationId xmlns:a16="http://schemas.microsoft.com/office/drawing/2014/main" id="{2085E219-3415-442B-B53D-259444310969}"/>
            </a:ext>
          </a:extLst>
        </xdr:cNvPr>
        <xdr:cNvSpPr/>
      </xdr:nvSpPr>
      <xdr:spPr>
        <a:xfrm>
          <a:off x="22288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29</xdr:col>
      <xdr:colOff>38100</xdr:colOff>
      <xdr:row>17</xdr:row>
      <xdr:rowOff>57150</xdr:rowOff>
    </xdr:from>
    <xdr:to>
      <xdr:col>29</xdr:col>
      <xdr:colOff>104775</xdr:colOff>
      <xdr:row>17</xdr:row>
      <xdr:rowOff>152400</xdr:rowOff>
    </xdr:to>
    <xdr:sp macro="" textlink="">
      <xdr:nvSpPr>
        <xdr:cNvPr id="676" name="Diagrama de flujo: conector 675">
          <a:extLst>
            <a:ext uri="{FF2B5EF4-FFF2-40B4-BE49-F238E27FC236}">
              <a16:creationId xmlns:a16="http://schemas.microsoft.com/office/drawing/2014/main" id="{30A37393-D144-47B5-9EC5-0D1C146171BC}"/>
            </a:ext>
          </a:extLst>
        </xdr:cNvPr>
        <xdr:cNvSpPr/>
      </xdr:nvSpPr>
      <xdr:spPr>
        <a:xfrm>
          <a:off x="22288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29</xdr:col>
      <xdr:colOff>38100</xdr:colOff>
      <xdr:row>18</xdr:row>
      <xdr:rowOff>47625</xdr:rowOff>
    </xdr:from>
    <xdr:to>
      <xdr:col>29</xdr:col>
      <xdr:colOff>104775</xdr:colOff>
      <xdr:row>18</xdr:row>
      <xdr:rowOff>142875</xdr:rowOff>
    </xdr:to>
    <xdr:sp macro="" textlink="">
      <xdr:nvSpPr>
        <xdr:cNvPr id="678" name="Diagrama de flujo: conector 677">
          <a:extLst>
            <a:ext uri="{FF2B5EF4-FFF2-40B4-BE49-F238E27FC236}">
              <a16:creationId xmlns:a16="http://schemas.microsoft.com/office/drawing/2014/main" id="{80B75E15-6B5A-43C5-9202-A86A1BC63FAA}"/>
            </a:ext>
          </a:extLst>
        </xdr:cNvPr>
        <xdr:cNvSpPr/>
      </xdr:nvSpPr>
      <xdr:spPr>
        <a:xfrm>
          <a:off x="22288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29</xdr:col>
      <xdr:colOff>38100</xdr:colOff>
      <xdr:row>19</xdr:row>
      <xdr:rowOff>57150</xdr:rowOff>
    </xdr:from>
    <xdr:to>
      <xdr:col>29</xdr:col>
      <xdr:colOff>104775</xdr:colOff>
      <xdr:row>19</xdr:row>
      <xdr:rowOff>152400</xdr:rowOff>
    </xdr:to>
    <xdr:sp macro="" textlink="">
      <xdr:nvSpPr>
        <xdr:cNvPr id="679" name="Diagrama de flujo: conector 678">
          <a:extLst>
            <a:ext uri="{FF2B5EF4-FFF2-40B4-BE49-F238E27FC236}">
              <a16:creationId xmlns:a16="http://schemas.microsoft.com/office/drawing/2014/main" id="{8DE0617A-7FBB-4EB8-84F8-B9A2532ECA9B}"/>
            </a:ext>
          </a:extLst>
        </xdr:cNvPr>
        <xdr:cNvSpPr/>
      </xdr:nvSpPr>
      <xdr:spPr>
        <a:xfrm>
          <a:off x="22288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29</xdr:col>
      <xdr:colOff>38100</xdr:colOff>
      <xdr:row>20</xdr:row>
      <xdr:rowOff>57150</xdr:rowOff>
    </xdr:from>
    <xdr:to>
      <xdr:col>29</xdr:col>
      <xdr:colOff>104775</xdr:colOff>
      <xdr:row>20</xdr:row>
      <xdr:rowOff>152400</xdr:rowOff>
    </xdr:to>
    <xdr:sp macro="" textlink="">
      <xdr:nvSpPr>
        <xdr:cNvPr id="680" name="Diagrama de flujo: conector 679">
          <a:extLst>
            <a:ext uri="{FF2B5EF4-FFF2-40B4-BE49-F238E27FC236}">
              <a16:creationId xmlns:a16="http://schemas.microsoft.com/office/drawing/2014/main" id="{60CB43D9-DD3D-42D0-888F-DD67CF3EFB5D}"/>
            </a:ext>
          </a:extLst>
        </xdr:cNvPr>
        <xdr:cNvSpPr/>
      </xdr:nvSpPr>
      <xdr:spPr>
        <a:xfrm>
          <a:off x="22288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29</xdr:col>
      <xdr:colOff>38100</xdr:colOff>
      <xdr:row>21</xdr:row>
      <xdr:rowOff>47625</xdr:rowOff>
    </xdr:from>
    <xdr:to>
      <xdr:col>29</xdr:col>
      <xdr:colOff>104775</xdr:colOff>
      <xdr:row>21</xdr:row>
      <xdr:rowOff>142875</xdr:rowOff>
    </xdr:to>
    <xdr:sp macro="" textlink="">
      <xdr:nvSpPr>
        <xdr:cNvPr id="682" name="Diagrama de flujo: conector 681">
          <a:extLst>
            <a:ext uri="{FF2B5EF4-FFF2-40B4-BE49-F238E27FC236}">
              <a16:creationId xmlns:a16="http://schemas.microsoft.com/office/drawing/2014/main" id="{26A92FE1-526B-4F74-BDD6-016FE2FBF6CD}"/>
            </a:ext>
          </a:extLst>
        </xdr:cNvPr>
        <xdr:cNvSpPr/>
      </xdr:nvSpPr>
      <xdr:spPr>
        <a:xfrm>
          <a:off x="22288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30</xdr:col>
      <xdr:colOff>38100</xdr:colOff>
      <xdr:row>14</xdr:row>
      <xdr:rowOff>57150</xdr:rowOff>
    </xdr:from>
    <xdr:to>
      <xdr:col>30</xdr:col>
      <xdr:colOff>104775</xdr:colOff>
      <xdr:row>14</xdr:row>
      <xdr:rowOff>152400</xdr:rowOff>
    </xdr:to>
    <xdr:sp macro="" textlink="">
      <xdr:nvSpPr>
        <xdr:cNvPr id="683" name="Diagrama de flujo: conector 682">
          <a:extLst>
            <a:ext uri="{FF2B5EF4-FFF2-40B4-BE49-F238E27FC236}">
              <a16:creationId xmlns:a16="http://schemas.microsoft.com/office/drawing/2014/main" id="{9FFCB007-50CC-49B2-A157-162AF998B0DD}"/>
            </a:ext>
          </a:extLst>
        </xdr:cNvPr>
        <xdr:cNvSpPr/>
      </xdr:nvSpPr>
      <xdr:spPr>
        <a:xfrm>
          <a:off x="23622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30</xdr:col>
      <xdr:colOff>38100</xdr:colOff>
      <xdr:row>15</xdr:row>
      <xdr:rowOff>57150</xdr:rowOff>
    </xdr:from>
    <xdr:to>
      <xdr:col>30</xdr:col>
      <xdr:colOff>104775</xdr:colOff>
      <xdr:row>15</xdr:row>
      <xdr:rowOff>152400</xdr:rowOff>
    </xdr:to>
    <xdr:sp macro="" textlink="">
      <xdr:nvSpPr>
        <xdr:cNvPr id="684" name="Diagrama de flujo: conector 683">
          <a:extLst>
            <a:ext uri="{FF2B5EF4-FFF2-40B4-BE49-F238E27FC236}">
              <a16:creationId xmlns:a16="http://schemas.microsoft.com/office/drawing/2014/main" id="{A87C403C-AF4D-4E38-B5F0-7C076491C844}"/>
            </a:ext>
          </a:extLst>
        </xdr:cNvPr>
        <xdr:cNvSpPr/>
      </xdr:nvSpPr>
      <xdr:spPr>
        <a:xfrm>
          <a:off x="23622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30</xdr:col>
      <xdr:colOff>38100</xdr:colOff>
      <xdr:row>16</xdr:row>
      <xdr:rowOff>57150</xdr:rowOff>
    </xdr:from>
    <xdr:to>
      <xdr:col>30</xdr:col>
      <xdr:colOff>104775</xdr:colOff>
      <xdr:row>16</xdr:row>
      <xdr:rowOff>152400</xdr:rowOff>
    </xdr:to>
    <xdr:sp macro="" textlink="">
      <xdr:nvSpPr>
        <xdr:cNvPr id="685" name="Diagrama de flujo: conector 684">
          <a:extLst>
            <a:ext uri="{FF2B5EF4-FFF2-40B4-BE49-F238E27FC236}">
              <a16:creationId xmlns:a16="http://schemas.microsoft.com/office/drawing/2014/main" id="{2CEB6B66-4ECE-443D-BEBE-AEF9E1F7983A}"/>
            </a:ext>
          </a:extLst>
        </xdr:cNvPr>
        <xdr:cNvSpPr/>
      </xdr:nvSpPr>
      <xdr:spPr>
        <a:xfrm>
          <a:off x="23622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30</xdr:col>
      <xdr:colOff>38100</xdr:colOff>
      <xdr:row>17</xdr:row>
      <xdr:rowOff>57150</xdr:rowOff>
    </xdr:from>
    <xdr:to>
      <xdr:col>30</xdr:col>
      <xdr:colOff>104775</xdr:colOff>
      <xdr:row>17</xdr:row>
      <xdr:rowOff>152400</xdr:rowOff>
    </xdr:to>
    <xdr:sp macro="" textlink="">
      <xdr:nvSpPr>
        <xdr:cNvPr id="686" name="Diagrama de flujo: conector 685">
          <a:extLst>
            <a:ext uri="{FF2B5EF4-FFF2-40B4-BE49-F238E27FC236}">
              <a16:creationId xmlns:a16="http://schemas.microsoft.com/office/drawing/2014/main" id="{4E7AB4DD-00C0-47F4-8DCC-FE4F954FD611}"/>
            </a:ext>
          </a:extLst>
        </xdr:cNvPr>
        <xdr:cNvSpPr/>
      </xdr:nvSpPr>
      <xdr:spPr>
        <a:xfrm>
          <a:off x="23622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30</xdr:col>
      <xdr:colOff>38100</xdr:colOff>
      <xdr:row>18</xdr:row>
      <xdr:rowOff>47625</xdr:rowOff>
    </xdr:from>
    <xdr:to>
      <xdr:col>30</xdr:col>
      <xdr:colOff>104775</xdr:colOff>
      <xdr:row>18</xdr:row>
      <xdr:rowOff>142875</xdr:rowOff>
    </xdr:to>
    <xdr:sp macro="" textlink="">
      <xdr:nvSpPr>
        <xdr:cNvPr id="688" name="Diagrama de flujo: conector 687">
          <a:extLst>
            <a:ext uri="{FF2B5EF4-FFF2-40B4-BE49-F238E27FC236}">
              <a16:creationId xmlns:a16="http://schemas.microsoft.com/office/drawing/2014/main" id="{1373ADA3-0BFC-4BBF-92BC-91A67CB429FB}"/>
            </a:ext>
          </a:extLst>
        </xdr:cNvPr>
        <xdr:cNvSpPr/>
      </xdr:nvSpPr>
      <xdr:spPr>
        <a:xfrm>
          <a:off x="23622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30</xdr:col>
      <xdr:colOff>38100</xdr:colOff>
      <xdr:row>19</xdr:row>
      <xdr:rowOff>57150</xdr:rowOff>
    </xdr:from>
    <xdr:to>
      <xdr:col>30</xdr:col>
      <xdr:colOff>104775</xdr:colOff>
      <xdr:row>19</xdr:row>
      <xdr:rowOff>152400</xdr:rowOff>
    </xdr:to>
    <xdr:sp macro="" textlink="">
      <xdr:nvSpPr>
        <xdr:cNvPr id="689" name="Diagrama de flujo: conector 688">
          <a:extLst>
            <a:ext uri="{FF2B5EF4-FFF2-40B4-BE49-F238E27FC236}">
              <a16:creationId xmlns:a16="http://schemas.microsoft.com/office/drawing/2014/main" id="{16128A80-8588-45DA-A0B5-7DA3DA1DD0D2}"/>
            </a:ext>
          </a:extLst>
        </xdr:cNvPr>
        <xdr:cNvSpPr/>
      </xdr:nvSpPr>
      <xdr:spPr>
        <a:xfrm>
          <a:off x="23622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30</xdr:col>
      <xdr:colOff>38100</xdr:colOff>
      <xdr:row>20</xdr:row>
      <xdr:rowOff>57150</xdr:rowOff>
    </xdr:from>
    <xdr:to>
      <xdr:col>30</xdr:col>
      <xdr:colOff>104775</xdr:colOff>
      <xdr:row>20</xdr:row>
      <xdr:rowOff>152400</xdr:rowOff>
    </xdr:to>
    <xdr:sp macro="" textlink="">
      <xdr:nvSpPr>
        <xdr:cNvPr id="690" name="Diagrama de flujo: conector 689">
          <a:extLst>
            <a:ext uri="{FF2B5EF4-FFF2-40B4-BE49-F238E27FC236}">
              <a16:creationId xmlns:a16="http://schemas.microsoft.com/office/drawing/2014/main" id="{3C54AFF0-1C0C-4959-90C8-827DE003CEB5}"/>
            </a:ext>
          </a:extLst>
        </xdr:cNvPr>
        <xdr:cNvSpPr/>
      </xdr:nvSpPr>
      <xdr:spPr>
        <a:xfrm>
          <a:off x="23622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30</xdr:col>
      <xdr:colOff>38100</xdr:colOff>
      <xdr:row>21</xdr:row>
      <xdr:rowOff>47625</xdr:rowOff>
    </xdr:from>
    <xdr:to>
      <xdr:col>30</xdr:col>
      <xdr:colOff>104775</xdr:colOff>
      <xdr:row>21</xdr:row>
      <xdr:rowOff>142875</xdr:rowOff>
    </xdr:to>
    <xdr:sp macro="" textlink="">
      <xdr:nvSpPr>
        <xdr:cNvPr id="692" name="Diagrama de flujo: conector 691">
          <a:extLst>
            <a:ext uri="{FF2B5EF4-FFF2-40B4-BE49-F238E27FC236}">
              <a16:creationId xmlns:a16="http://schemas.microsoft.com/office/drawing/2014/main" id="{0BF90575-F940-4384-BD48-8C098E4F14BD}"/>
            </a:ext>
          </a:extLst>
        </xdr:cNvPr>
        <xdr:cNvSpPr/>
      </xdr:nvSpPr>
      <xdr:spPr>
        <a:xfrm>
          <a:off x="23622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31</xdr:col>
      <xdr:colOff>38100</xdr:colOff>
      <xdr:row>14</xdr:row>
      <xdr:rowOff>57150</xdr:rowOff>
    </xdr:from>
    <xdr:to>
      <xdr:col>31</xdr:col>
      <xdr:colOff>104775</xdr:colOff>
      <xdr:row>14</xdr:row>
      <xdr:rowOff>152400</xdr:rowOff>
    </xdr:to>
    <xdr:sp macro="" textlink="">
      <xdr:nvSpPr>
        <xdr:cNvPr id="693" name="Diagrama de flujo: conector 692">
          <a:extLst>
            <a:ext uri="{FF2B5EF4-FFF2-40B4-BE49-F238E27FC236}">
              <a16:creationId xmlns:a16="http://schemas.microsoft.com/office/drawing/2014/main" id="{E22ED017-9D82-4A20-93C6-08FC5F3C041A}"/>
            </a:ext>
          </a:extLst>
        </xdr:cNvPr>
        <xdr:cNvSpPr/>
      </xdr:nvSpPr>
      <xdr:spPr>
        <a:xfrm>
          <a:off x="24955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31</xdr:col>
      <xdr:colOff>38100</xdr:colOff>
      <xdr:row>15</xdr:row>
      <xdr:rowOff>57150</xdr:rowOff>
    </xdr:from>
    <xdr:to>
      <xdr:col>31</xdr:col>
      <xdr:colOff>104775</xdr:colOff>
      <xdr:row>15</xdr:row>
      <xdr:rowOff>152400</xdr:rowOff>
    </xdr:to>
    <xdr:sp macro="" textlink="">
      <xdr:nvSpPr>
        <xdr:cNvPr id="694" name="Diagrama de flujo: conector 693">
          <a:extLst>
            <a:ext uri="{FF2B5EF4-FFF2-40B4-BE49-F238E27FC236}">
              <a16:creationId xmlns:a16="http://schemas.microsoft.com/office/drawing/2014/main" id="{D20D83C4-E9DA-4298-911D-7E15CCF3C06B}"/>
            </a:ext>
          </a:extLst>
        </xdr:cNvPr>
        <xdr:cNvSpPr/>
      </xdr:nvSpPr>
      <xdr:spPr>
        <a:xfrm>
          <a:off x="24955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31</xdr:col>
      <xdr:colOff>38100</xdr:colOff>
      <xdr:row>16</xdr:row>
      <xdr:rowOff>57150</xdr:rowOff>
    </xdr:from>
    <xdr:to>
      <xdr:col>31</xdr:col>
      <xdr:colOff>104775</xdr:colOff>
      <xdr:row>16</xdr:row>
      <xdr:rowOff>152400</xdr:rowOff>
    </xdr:to>
    <xdr:sp macro="" textlink="">
      <xdr:nvSpPr>
        <xdr:cNvPr id="695" name="Diagrama de flujo: conector 694">
          <a:extLst>
            <a:ext uri="{FF2B5EF4-FFF2-40B4-BE49-F238E27FC236}">
              <a16:creationId xmlns:a16="http://schemas.microsoft.com/office/drawing/2014/main" id="{E3A91C86-F6EB-4CF2-B0D4-F19EFB80D6F9}"/>
            </a:ext>
          </a:extLst>
        </xdr:cNvPr>
        <xdr:cNvSpPr/>
      </xdr:nvSpPr>
      <xdr:spPr>
        <a:xfrm>
          <a:off x="24955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31</xdr:col>
      <xdr:colOff>38100</xdr:colOff>
      <xdr:row>17</xdr:row>
      <xdr:rowOff>57150</xdr:rowOff>
    </xdr:from>
    <xdr:to>
      <xdr:col>31</xdr:col>
      <xdr:colOff>104775</xdr:colOff>
      <xdr:row>17</xdr:row>
      <xdr:rowOff>152400</xdr:rowOff>
    </xdr:to>
    <xdr:sp macro="" textlink="">
      <xdr:nvSpPr>
        <xdr:cNvPr id="696" name="Diagrama de flujo: conector 695">
          <a:extLst>
            <a:ext uri="{FF2B5EF4-FFF2-40B4-BE49-F238E27FC236}">
              <a16:creationId xmlns:a16="http://schemas.microsoft.com/office/drawing/2014/main" id="{0A061A00-D4AD-4958-8146-32EE925B9B97}"/>
            </a:ext>
          </a:extLst>
        </xdr:cNvPr>
        <xdr:cNvSpPr/>
      </xdr:nvSpPr>
      <xdr:spPr>
        <a:xfrm>
          <a:off x="24955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31</xdr:col>
      <xdr:colOff>38100</xdr:colOff>
      <xdr:row>18</xdr:row>
      <xdr:rowOff>47625</xdr:rowOff>
    </xdr:from>
    <xdr:to>
      <xdr:col>31</xdr:col>
      <xdr:colOff>104775</xdr:colOff>
      <xdr:row>18</xdr:row>
      <xdr:rowOff>142875</xdr:rowOff>
    </xdr:to>
    <xdr:sp macro="" textlink="">
      <xdr:nvSpPr>
        <xdr:cNvPr id="698" name="Diagrama de flujo: conector 697">
          <a:extLst>
            <a:ext uri="{FF2B5EF4-FFF2-40B4-BE49-F238E27FC236}">
              <a16:creationId xmlns:a16="http://schemas.microsoft.com/office/drawing/2014/main" id="{F7793F2D-D09D-4D6A-A81E-1DAA594BF651}"/>
            </a:ext>
          </a:extLst>
        </xdr:cNvPr>
        <xdr:cNvSpPr/>
      </xdr:nvSpPr>
      <xdr:spPr>
        <a:xfrm>
          <a:off x="24955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31</xdr:col>
      <xdr:colOff>38100</xdr:colOff>
      <xdr:row>19</xdr:row>
      <xdr:rowOff>57150</xdr:rowOff>
    </xdr:from>
    <xdr:to>
      <xdr:col>31</xdr:col>
      <xdr:colOff>104775</xdr:colOff>
      <xdr:row>19</xdr:row>
      <xdr:rowOff>152400</xdr:rowOff>
    </xdr:to>
    <xdr:sp macro="" textlink="">
      <xdr:nvSpPr>
        <xdr:cNvPr id="699" name="Diagrama de flujo: conector 698">
          <a:extLst>
            <a:ext uri="{FF2B5EF4-FFF2-40B4-BE49-F238E27FC236}">
              <a16:creationId xmlns:a16="http://schemas.microsoft.com/office/drawing/2014/main" id="{2BAC77A9-6637-457A-9D59-6B4789BAA3A7}"/>
            </a:ext>
          </a:extLst>
        </xdr:cNvPr>
        <xdr:cNvSpPr/>
      </xdr:nvSpPr>
      <xdr:spPr>
        <a:xfrm>
          <a:off x="24955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31</xdr:col>
      <xdr:colOff>38100</xdr:colOff>
      <xdr:row>20</xdr:row>
      <xdr:rowOff>57150</xdr:rowOff>
    </xdr:from>
    <xdr:to>
      <xdr:col>31</xdr:col>
      <xdr:colOff>104775</xdr:colOff>
      <xdr:row>20</xdr:row>
      <xdr:rowOff>152400</xdr:rowOff>
    </xdr:to>
    <xdr:sp macro="" textlink="">
      <xdr:nvSpPr>
        <xdr:cNvPr id="700" name="Diagrama de flujo: conector 699">
          <a:extLst>
            <a:ext uri="{FF2B5EF4-FFF2-40B4-BE49-F238E27FC236}">
              <a16:creationId xmlns:a16="http://schemas.microsoft.com/office/drawing/2014/main" id="{BD17AB16-FD04-43FC-8D89-194B2E471A7E}"/>
            </a:ext>
          </a:extLst>
        </xdr:cNvPr>
        <xdr:cNvSpPr/>
      </xdr:nvSpPr>
      <xdr:spPr>
        <a:xfrm>
          <a:off x="24955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31</xdr:col>
      <xdr:colOff>38100</xdr:colOff>
      <xdr:row>21</xdr:row>
      <xdr:rowOff>47625</xdr:rowOff>
    </xdr:from>
    <xdr:to>
      <xdr:col>31</xdr:col>
      <xdr:colOff>104775</xdr:colOff>
      <xdr:row>21</xdr:row>
      <xdr:rowOff>142875</xdr:rowOff>
    </xdr:to>
    <xdr:sp macro="" textlink="">
      <xdr:nvSpPr>
        <xdr:cNvPr id="702" name="Diagrama de flujo: conector 701">
          <a:extLst>
            <a:ext uri="{FF2B5EF4-FFF2-40B4-BE49-F238E27FC236}">
              <a16:creationId xmlns:a16="http://schemas.microsoft.com/office/drawing/2014/main" id="{75AA1D03-5CC3-4FCD-8F0E-897A870E438A}"/>
            </a:ext>
          </a:extLst>
        </xdr:cNvPr>
        <xdr:cNvSpPr/>
      </xdr:nvSpPr>
      <xdr:spPr>
        <a:xfrm>
          <a:off x="24955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32</xdr:col>
      <xdr:colOff>38100</xdr:colOff>
      <xdr:row>14</xdr:row>
      <xdr:rowOff>57150</xdr:rowOff>
    </xdr:from>
    <xdr:to>
      <xdr:col>32</xdr:col>
      <xdr:colOff>104775</xdr:colOff>
      <xdr:row>14</xdr:row>
      <xdr:rowOff>152400</xdr:rowOff>
    </xdr:to>
    <xdr:sp macro="" textlink="">
      <xdr:nvSpPr>
        <xdr:cNvPr id="703" name="Diagrama de flujo: conector 702">
          <a:extLst>
            <a:ext uri="{FF2B5EF4-FFF2-40B4-BE49-F238E27FC236}">
              <a16:creationId xmlns:a16="http://schemas.microsoft.com/office/drawing/2014/main" id="{44470208-EA7D-4AB4-B8C2-AE850062E592}"/>
            </a:ext>
          </a:extLst>
        </xdr:cNvPr>
        <xdr:cNvSpPr/>
      </xdr:nvSpPr>
      <xdr:spPr>
        <a:xfrm>
          <a:off x="26289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32</xdr:col>
      <xdr:colOff>38100</xdr:colOff>
      <xdr:row>15</xdr:row>
      <xdr:rowOff>57150</xdr:rowOff>
    </xdr:from>
    <xdr:to>
      <xdr:col>32</xdr:col>
      <xdr:colOff>104775</xdr:colOff>
      <xdr:row>15</xdr:row>
      <xdr:rowOff>152400</xdr:rowOff>
    </xdr:to>
    <xdr:sp macro="" textlink="">
      <xdr:nvSpPr>
        <xdr:cNvPr id="704" name="Diagrama de flujo: conector 703">
          <a:extLst>
            <a:ext uri="{FF2B5EF4-FFF2-40B4-BE49-F238E27FC236}">
              <a16:creationId xmlns:a16="http://schemas.microsoft.com/office/drawing/2014/main" id="{9AB9E628-6945-431D-BE22-ECF27FE29D0D}"/>
            </a:ext>
          </a:extLst>
        </xdr:cNvPr>
        <xdr:cNvSpPr/>
      </xdr:nvSpPr>
      <xdr:spPr>
        <a:xfrm>
          <a:off x="26289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32</xdr:col>
      <xdr:colOff>38100</xdr:colOff>
      <xdr:row>16</xdr:row>
      <xdr:rowOff>57150</xdr:rowOff>
    </xdr:from>
    <xdr:to>
      <xdr:col>32</xdr:col>
      <xdr:colOff>104775</xdr:colOff>
      <xdr:row>16</xdr:row>
      <xdr:rowOff>152400</xdr:rowOff>
    </xdr:to>
    <xdr:sp macro="" textlink="">
      <xdr:nvSpPr>
        <xdr:cNvPr id="705" name="Diagrama de flujo: conector 704">
          <a:extLst>
            <a:ext uri="{FF2B5EF4-FFF2-40B4-BE49-F238E27FC236}">
              <a16:creationId xmlns:a16="http://schemas.microsoft.com/office/drawing/2014/main" id="{7CC83778-C21C-4A1C-820C-C209B8ED979D}"/>
            </a:ext>
          </a:extLst>
        </xdr:cNvPr>
        <xdr:cNvSpPr/>
      </xdr:nvSpPr>
      <xdr:spPr>
        <a:xfrm>
          <a:off x="26289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32</xdr:col>
      <xdr:colOff>38100</xdr:colOff>
      <xdr:row>17</xdr:row>
      <xdr:rowOff>57150</xdr:rowOff>
    </xdr:from>
    <xdr:to>
      <xdr:col>32</xdr:col>
      <xdr:colOff>104775</xdr:colOff>
      <xdr:row>17</xdr:row>
      <xdr:rowOff>152400</xdr:rowOff>
    </xdr:to>
    <xdr:sp macro="" textlink="">
      <xdr:nvSpPr>
        <xdr:cNvPr id="706" name="Diagrama de flujo: conector 705">
          <a:extLst>
            <a:ext uri="{FF2B5EF4-FFF2-40B4-BE49-F238E27FC236}">
              <a16:creationId xmlns:a16="http://schemas.microsoft.com/office/drawing/2014/main" id="{5CD4090B-0718-41D1-87E0-A26359C8BACB}"/>
            </a:ext>
          </a:extLst>
        </xdr:cNvPr>
        <xdr:cNvSpPr/>
      </xdr:nvSpPr>
      <xdr:spPr>
        <a:xfrm>
          <a:off x="26289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32</xdr:col>
      <xdr:colOff>38100</xdr:colOff>
      <xdr:row>18</xdr:row>
      <xdr:rowOff>47625</xdr:rowOff>
    </xdr:from>
    <xdr:to>
      <xdr:col>32</xdr:col>
      <xdr:colOff>104775</xdr:colOff>
      <xdr:row>18</xdr:row>
      <xdr:rowOff>142875</xdr:rowOff>
    </xdr:to>
    <xdr:sp macro="" textlink="">
      <xdr:nvSpPr>
        <xdr:cNvPr id="708" name="Diagrama de flujo: conector 707">
          <a:extLst>
            <a:ext uri="{FF2B5EF4-FFF2-40B4-BE49-F238E27FC236}">
              <a16:creationId xmlns:a16="http://schemas.microsoft.com/office/drawing/2014/main" id="{5DBFD811-885B-4804-A13F-FBDACC4A904D}"/>
            </a:ext>
          </a:extLst>
        </xdr:cNvPr>
        <xdr:cNvSpPr/>
      </xdr:nvSpPr>
      <xdr:spPr>
        <a:xfrm>
          <a:off x="26289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32</xdr:col>
      <xdr:colOff>38100</xdr:colOff>
      <xdr:row>19</xdr:row>
      <xdr:rowOff>57150</xdr:rowOff>
    </xdr:from>
    <xdr:to>
      <xdr:col>32</xdr:col>
      <xdr:colOff>104775</xdr:colOff>
      <xdr:row>19</xdr:row>
      <xdr:rowOff>152400</xdr:rowOff>
    </xdr:to>
    <xdr:sp macro="" textlink="">
      <xdr:nvSpPr>
        <xdr:cNvPr id="709" name="Diagrama de flujo: conector 708">
          <a:extLst>
            <a:ext uri="{FF2B5EF4-FFF2-40B4-BE49-F238E27FC236}">
              <a16:creationId xmlns:a16="http://schemas.microsoft.com/office/drawing/2014/main" id="{8CCA917B-3BAD-4146-A7E8-48CBF9E60E6E}"/>
            </a:ext>
          </a:extLst>
        </xdr:cNvPr>
        <xdr:cNvSpPr/>
      </xdr:nvSpPr>
      <xdr:spPr>
        <a:xfrm>
          <a:off x="26289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32</xdr:col>
      <xdr:colOff>38100</xdr:colOff>
      <xdr:row>20</xdr:row>
      <xdr:rowOff>57150</xdr:rowOff>
    </xdr:from>
    <xdr:to>
      <xdr:col>32</xdr:col>
      <xdr:colOff>104775</xdr:colOff>
      <xdr:row>20</xdr:row>
      <xdr:rowOff>152400</xdr:rowOff>
    </xdr:to>
    <xdr:sp macro="" textlink="">
      <xdr:nvSpPr>
        <xdr:cNvPr id="710" name="Diagrama de flujo: conector 709">
          <a:extLst>
            <a:ext uri="{FF2B5EF4-FFF2-40B4-BE49-F238E27FC236}">
              <a16:creationId xmlns:a16="http://schemas.microsoft.com/office/drawing/2014/main" id="{68798D5D-2C8C-430A-8ACE-78A0DFE58957}"/>
            </a:ext>
          </a:extLst>
        </xdr:cNvPr>
        <xdr:cNvSpPr/>
      </xdr:nvSpPr>
      <xdr:spPr>
        <a:xfrm>
          <a:off x="26289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32</xdr:col>
      <xdr:colOff>38100</xdr:colOff>
      <xdr:row>21</xdr:row>
      <xdr:rowOff>47625</xdr:rowOff>
    </xdr:from>
    <xdr:to>
      <xdr:col>32</xdr:col>
      <xdr:colOff>104775</xdr:colOff>
      <xdr:row>21</xdr:row>
      <xdr:rowOff>142875</xdr:rowOff>
    </xdr:to>
    <xdr:sp macro="" textlink="">
      <xdr:nvSpPr>
        <xdr:cNvPr id="712" name="Diagrama de flujo: conector 711">
          <a:extLst>
            <a:ext uri="{FF2B5EF4-FFF2-40B4-BE49-F238E27FC236}">
              <a16:creationId xmlns:a16="http://schemas.microsoft.com/office/drawing/2014/main" id="{4AAFDE3D-990D-4315-BB86-05C5669BC1EF}"/>
            </a:ext>
          </a:extLst>
        </xdr:cNvPr>
        <xdr:cNvSpPr/>
      </xdr:nvSpPr>
      <xdr:spPr>
        <a:xfrm>
          <a:off x="26289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33</xdr:col>
      <xdr:colOff>38100</xdr:colOff>
      <xdr:row>14</xdr:row>
      <xdr:rowOff>57150</xdr:rowOff>
    </xdr:from>
    <xdr:to>
      <xdr:col>33</xdr:col>
      <xdr:colOff>104775</xdr:colOff>
      <xdr:row>14</xdr:row>
      <xdr:rowOff>152400</xdr:rowOff>
    </xdr:to>
    <xdr:sp macro="" textlink="">
      <xdr:nvSpPr>
        <xdr:cNvPr id="713" name="Diagrama de flujo: conector 712">
          <a:extLst>
            <a:ext uri="{FF2B5EF4-FFF2-40B4-BE49-F238E27FC236}">
              <a16:creationId xmlns:a16="http://schemas.microsoft.com/office/drawing/2014/main" id="{8E61C4E3-4352-4A1A-A8EF-333C86EF0083}"/>
            </a:ext>
          </a:extLst>
        </xdr:cNvPr>
        <xdr:cNvSpPr/>
      </xdr:nvSpPr>
      <xdr:spPr>
        <a:xfrm>
          <a:off x="27622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33</xdr:col>
      <xdr:colOff>38100</xdr:colOff>
      <xdr:row>15</xdr:row>
      <xdr:rowOff>57150</xdr:rowOff>
    </xdr:from>
    <xdr:to>
      <xdr:col>33</xdr:col>
      <xdr:colOff>104775</xdr:colOff>
      <xdr:row>15</xdr:row>
      <xdr:rowOff>152400</xdr:rowOff>
    </xdr:to>
    <xdr:sp macro="" textlink="">
      <xdr:nvSpPr>
        <xdr:cNvPr id="714" name="Diagrama de flujo: conector 713">
          <a:extLst>
            <a:ext uri="{FF2B5EF4-FFF2-40B4-BE49-F238E27FC236}">
              <a16:creationId xmlns:a16="http://schemas.microsoft.com/office/drawing/2014/main" id="{AEE9ED63-3630-4A1F-A2E2-0990BF8E4F0A}"/>
            </a:ext>
          </a:extLst>
        </xdr:cNvPr>
        <xdr:cNvSpPr/>
      </xdr:nvSpPr>
      <xdr:spPr>
        <a:xfrm>
          <a:off x="27622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33</xdr:col>
      <xdr:colOff>38100</xdr:colOff>
      <xdr:row>16</xdr:row>
      <xdr:rowOff>57150</xdr:rowOff>
    </xdr:from>
    <xdr:to>
      <xdr:col>33</xdr:col>
      <xdr:colOff>104775</xdr:colOff>
      <xdr:row>16</xdr:row>
      <xdr:rowOff>152400</xdr:rowOff>
    </xdr:to>
    <xdr:sp macro="" textlink="">
      <xdr:nvSpPr>
        <xdr:cNvPr id="715" name="Diagrama de flujo: conector 714">
          <a:extLst>
            <a:ext uri="{FF2B5EF4-FFF2-40B4-BE49-F238E27FC236}">
              <a16:creationId xmlns:a16="http://schemas.microsoft.com/office/drawing/2014/main" id="{F91B9052-CF9A-425D-BA73-A1002B9103D5}"/>
            </a:ext>
          </a:extLst>
        </xdr:cNvPr>
        <xdr:cNvSpPr/>
      </xdr:nvSpPr>
      <xdr:spPr>
        <a:xfrm>
          <a:off x="27622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33</xdr:col>
      <xdr:colOff>38100</xdr:colOff>
      <xdr:row>17</xdr:row>
      <xdr:rowOff>57150</xdr:rowOff>
    </xdr:from>
    <xdr:to>
      <xdr:col>33</xdr:col>
      <xdr:colOff>104775</xdr:colOff>
      <xdr:row>17</xdr:row>
      <xdr:rowOff>152400</xdr:rowOff>
    </xdr:to>
    <xdr:sp macro="" textlink="">
      <xdr:nvSpPr>
        <xdr:cNvPr id="716" name="Diagrama de flujo: conector 715">
          <a:extLst>
            <a:ext uri="{FF2B5EF4-FFF2-40B4-BE49-F238E27FC236}">
              <a16:creationId xmlns:a16="http://schemas.microsoft.com/office/drawing/2014/main" id="{E65513B5-1B98-4C6F-94AA-66041A0FF682}"/>
            </a:ext>
          </a:extLst>
        </xdr:cNvPr>
        <xdr:cNvSpPr/>
      </xdr:nvSpPr>
      <xdr:spPr>
        <a:xfrm>
          <a:off x="27622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33</xdr:col>
      <xdr:colOff>38100</xdr:colOff>
      <xdr:row>18</xdr:row>
      <xdr:rowOff>47625</xdr:rowOff>
    </xdr:from>
    <xdr:to>
      <xdr:col>33</xdr:col>
      <xdr:colOff>104775</xdr:colOff>
      <xdr:row>18</xdr:row>
      <xdr:rowOff>142875</xdr:rowOff>
    </xdr:to>
    <xdr:sp macro="" textlink="">
      <xdr:nvSpPr>
        <xdr:cNvPr id="718" name="Diagrama de flujo: conector 717">
          <a:extLst>
            <a:ext uri="{FF2B5EF4-FFF2-40B4-BE49-F238E27FC236}">
              <a16:creationId xmlns:a16="http://schemas.microsoft.com/office/drawing/2014/main" id="{416ADE93-9677-46A4-8E54-0D56FA5F07F8}"/>
            </a:ext>
          </a:extLst>
        </xdr:cNvPr>
        <xdr:cNvSpPr/>
      </xdr:nvSpPr>
      <xdr:spPr>
        <a:xfrm>
          <a:off x="27622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33</xdr:col>
      <xdr:colOff>38100</xdr:colOff>
      <xdr:row>19</xdr:row>
      <xdr:rowOff>57150</xdr:rowOff>
    </xdr:from>
    <xdr:to>
      <xdr:col>33</xdr:col>
      <xdr:colOff>104775</xdr:colOff>
      <xdr:row>19</xdr:row>
      <xdr:rowOff>152400</xdr:rowOff>
    </xdr:to>
    <xdr:sp macro="" textlink="">
      <xdr:nvSpPr>
        <xdr:cNvPr id="719" name="Diagrama de flujo: conector 718">
          <a:extLst>
            <a:ext uri="{FF2B5EF4-FFF2-40B4-BE49-F238E27FC236}">
              <a16:creationId xmlns:a16="http://schemas.microsoft.com/office/drawing/2014/main" id="{EBE1DE23-00E5-45BE-A662-F42885540771}"/>
            </a:ext>
          </a:extLst>
        </xdr:cNvPr>
        <xdr:cNvSpPr/>
      </xdr:nvSpPr>
      <xdr:spPr>
        <a:xfrm>
          <a:off x="27622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33</xdr:col>
      <xdr:colOff>38100</xdr:colOff>
      <xdr:row>20</xdr:row>
      <xdr:rowOff>57150</xdr:rowOff>
    </xdr:from>
    <xdr:to>
      <xdr:col>33</xdr:col>
      <xdr:colOff>104775</xdr:colOff>
      <xdr:row>20</xdr:row>
      <xdr:rowOff>152400</xdr:rowOff>
    </xdr:to>
    <xdr:sp macro="" textlink="">
      <xdr:nvSpPr>
        <xdr:cNvPr id="720" name="Diagrama de flujo: conector 719">
          <a:extLst>
            <a:ext uri="{FF2B5EF4-FFF2-40B4-BE49-F238E27FC236}">
              <a16:creationId xmlns:a16="http://schemas.microsoft.com/office/drawing/2014/main" id="{EC453EE7-02FC-4134-BD5C-A8DDB14595DE}"/>
            </a:ext>
          </a:extLst>
        </xdr:cNvPr>
        <xdr:cNvSpPr/>
      </xdr:nvSpPr>
      <xdr:spPr>
        <a:xfrm>
          <a:off x="27622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33</xdr:col>
      <xdr:colOff>38100</xdr:colOff>
      <xdr:row>21</xdr:row>
      <xdr:rowOff>47625</xdr:rowOff>
    </xdr:from>
    <xdr:to>
      <xdr:col>33</xdr:col>
      <xdr:colOff>104775</xdr:colOff>
      <xdr:row>21</xdr:row>
      <xdr:rowOff>142875</xdr:rowOff>
    </xdr:to>
    <xdr:sp macro="" textlink="">
      <xdr:nvSpPr>
        <xdr:cNvPr id="722" name="Diagrama de flujo: conector 721">
          <a:extLst>
            <a:ext uri="{FF2B5EF4-FFF2-40B4-BE49-F238E27FC236}">
              <a16:creationId xmlns:a16="http://schemas.microsoft.com/office/drawing/2014/main" id="{8528C754-42F6-4A03-8062-C2FF0DEA0EC5}"/>
            </a:ext>
          </a:extLst>
        </xdr:cNvPr>
        <xdr:cNvSpPr/>
      </xdr:nvSpPr>
      <xdr:spPr>
        <a:xfrm>
          <a:off x="27622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34</xdr:col>
      <xdr:colOff>38100</xdr:colOff>
      <xdr:row>14</xdr:row>
      <xdr:rowOff>57150</xdr:rowOff>
    </xdr:from>
    <xdr:to>
      <xdr:col>34</xdr:col>
      <xdr:colOff>104775</xdr:colOff>
      <xdr:row>14</xdr:row>
      <xdr:rowOff>152400</xdr:rowOff>
    </xdr:to>
    <xdr:sp macro="" textlink="">
      <xdr:nvSpPr>
        <xdr:cNvPr id="723" name="Diagrama de flujo: conector 722">
          <a:extLst>
            <a:ext uri="{FF2B5EF4-FFF2-40B4-BE49-F238E27FC236}">
              <a16:creationId xmlns:a16="http://schemas.microsoft.com/office/drawing/2014/main" id="{9715B1D8-431D-4B37-8AE0-4EC2428B39D4}"/>
            </a:ext>
          </a:extLst>
        </xdr:cNvPr>
        <xdr:cNvSpPr/>
      </xdr:nvSpPr>
      <xdr:spPr>
        <a:xfrm>
          <a:off x="28956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34</xdr:col>
      <xdr:colOff>38100</xdr:colOff>
      <xdr:row>15</xdr:row>
      <xdr:rowOff>57150</xdr:rowOff>
    </xdr:from>
    <xdr:to>
      <xdr:col>34</xdr:col>
      <xdr:colOff>104775</xdr:colOff>
      <xdr:row>15</xdr:row>
      <xdr:rowOff>152400</xdr:rowOff>
    </xdr:to>
    <xdr:sp macro="" textlink="">
      <xdr:nvSpPr>
        <xdr:cNvPr id="724" name="Diagrama de flujo: conector 723">
          <a:extLst>
            <a:ext uri="{FF2B5EF4-FFF2-40B4-BE49-F238E27FC236}">
              <a16:creationId xmlns:a16="http://schemas.microsoft.com/office/drawing/2014/main" id="{EF1B1D6D-C213-4B3C-BC67-796A1E40CD73}"/>
            </a:ext>
          </a:extLst>
        </xdr:cNvPr>
        <xdr:cNvSpPr/>
      </xdr:nvSpPr>
      <xdr:spPr>
        <a:xfrm>
          <a:off x="28956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34</xdr:col>
      <xdr:colOff>38100</xdr:colOff>
      <xdr:row>16</xdr:row>
      <xdr:rowOff>57150</xdr:rowOff>
    </xdr:from>
    <xdr:to>
      <xdr:col>34</xdr:col>
      <xdr:colOff>104775</xdr:colOff>
      <xdr:row>16</xdr:row>
      <xdr:rowOff>152400</xdr:rowOff>
    </xdr:to>
    <xdr:sp macro="" textlink="">
      <xdr:nvSpPr>
        <xdr:cNvPr id="725" name="Diagrama de flujo: conector 724">
          <a:extLst>
            <a:ext uri="{FF2B5EF4-FFF2-40B4-BE49-F238E27FC236}">
              <a16:creationId xmlns:a16="http://schemas.microsoft.com/office/drawing/2014/main" id="{BDFC3BE7-BEFC-40BA-B4A0-4B96EBA0CB51}"/>
            </a:ext>
          </a:extLst>
        </xdr:cNvPr>
        <xdr:cNvSpPr/>
      </xdr:nvSpPr>
      <xdr:spPr>
        <a:xfrm>
          <a:off x="28956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34</xdr:col>
      <xdr:colOff>38100</xdr:colOff>
      <xdr:row>17</xdr:row>
      <xdr:rowOff>57150</xdr:rowOff>
    </xdr:from>
    <xdr:to>
      <xdr:col>34</xdr:col>
      <xdr:colOff>104775</xdr:colOff>
      <xdr:row>17</xdr:row>
      <xdr:rowOff>152400</xdr:rowOff>
    </xdr:to>
    <xdr:sp macro="" textlink="">
      <xdr:nvSpPr>
        <xdr:cNvPr id="726" name="Diagrama de flujo: conector 725">
          <a:extLst>
            <a:ext uri="{FF2B5EF4-FFF2-40B4-BE49-F238E27FC236}">
              <a16:creationId xmlns:a16="http://schemas.microsoft.com/office/drawing/2014/main" id="{5B295764-5A7E-42BD-85DB-8C9E120F9903}"/>
            </a:ext>
          </a:extLst>
        </xdr:cNvPr>
        <xdr:cNvSpPr/>
      </xdr:nvSpPr>
      <xdr:spPr>
        <a:xfrm>
          <a:off x="28956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34</xdr:col>
      <xdr:colOff>38100</xdr:colOff>
      <xdr:row>18</xdr:row>
      <xdr:rowOff>47625</xdr:rowOff>
    </xdr:from>
    <xdr:to>
      <xdr:col>34</xdr:col>
      <xdr:colOff>104775</xdr:colOff>
      <xdr:row>18</xdr:row>
      <xdr:rowOff>142875</xdr:rowOff>
    </xdr:to>
    <xdr:sp macro="" textlink="">
      <xdr:nvSpPr>
        <xdr:cNvPr id="728" name="Diagrama de flujo: conector 727">
          <a:extLst>
            <a:ext uri="{FF2B5EF4-FFF2-40B4-BE49-F238E27FC236}">
              <a16:creationId xmlns:a16="http://schemas.microsoft.com/office/drawing/2014/main" id="{B29AE7AA-538E-4EC4-BCCE-7F179B107218}"/>
            </a:ext>
          </a:extLst>
        </xdr:cNvPr>
        <xdr:cNvSpPr/>
      </xdr:nvSpPr>
      <xdr:spPr>
        <a:xfrm>
          <a:off x="28956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34</xdr:col>
      <xdr:colOff>38100</xdr:colOff>
      <xdr:row>19</xdr:row>
      <xdr:rowOff>57150</xdr:rowOff>
    </xdr:from>
    <xdr:to>
      <xdr:col>34</xdr:col>
      <xdr:colOff>104775</xdr:colOff>
      <xdr:row>19</xdr:row>
      <xdr:rowOff>152400</xdr:rowOff>
    </xdr:to>
    <xdr:sp macro="" textlink="">
      <xdr:nvSpPr>
        <xdr:cNvPr id="729" name="Diagrama de flujo: conector 728">
          <a:extLst>
            <a:ext uri="{FF2B5EF4-FFF2-40B4-BE49-F238E27FC236}">
              <a16:creationId xmlns:a16="http://schemas.microsoft.com/office/drawing/2014/main" id="{58A0CA16-C025-4BA5-B2DF-C5E1628AE8B3}"/>
            </a:ext>
          </a:extLst>
        </xdr:cNvPr>
        <xdr:cNvSpPr/>
      </xdr:nvSpPr>
      <xdr:spPr>
        <a:xfrm>
          <a:off x="28956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34</xdr:col>
      <xdr:colOff>38100</xdr:colOff>
      <xdr:row>20</xdr:row>
      <xdr:rowOff>57150</xdr:rowOff>
    </xdr:from>
    <xdr:to>
      <xdr:col>34</xdr:col>
      <xdr:colOff>104775</xdr:colOff>
      <xdr:row>20</xdr:row>
      <xdr:rowOff>152400</xdr:rowOff>
    </xdr:to>
    <xdr:sp macro="" textlink="">
      <xdr:nvSpPr>
        <xdr:cNvPr id="730" name="Diagrama de flujo: conector 729">
          <a:extLst>
            <a:ext uri="{FF2B5EF4-FFF2-40B4-BE49-F238E27FC236}">
              <a16:creationId xmlns:a16="http://schemas.microsoft.com/office/drawing/2014/main" id="{95755F37-745C-49E6-8DE0-3EF1EE53A46B}"/>
            </a:ext>
          </a:extLst>
        </xdr:cNvPr>
        <xdr:cNvSpPr/>
      </xdr:nvSpPr>
      <xdr:spPr>
        <a:xfrm>
          <a:off x="28956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34</xdr:col>
      <xdr:colOff>38100</xdr:colOff>
      <xdr:row>21</xdr:row>
      <xdr:rowOff>47625</xdr:rowOff>
    </xdr:from>
    <xdr:to>
      <xdr:col>34</xdr:col>
      <xdr:colOff>104775</xdr:colOff>
      <xdr:row>21</xdr:row>
      <xdr:rowOff>142875</xdr:rowOff>
    </xdr:to>
    <xdr:sp macro="" textlink="">
      <xdr:nvSpPr>
        <xdr:cNvPr id="732" name="Diagrama de flujo: conector 731">
          <a:extLst>
            <a:ext uri="{FF2B5EF4-FFF2-40B4-BE49-F238E27FC236}">
              <a16:creationId xmlns:a16="http://schemas.microsoft.com/office/drawing/2014/main" id="{F5221F91-3D0B-4193-92EE-384F316FCC55}"/>
            </a:ext>
          </a:extLst>
        </xdr:cNvPr>
        <xdr:cNvSpPr/>
      </xdr:nvSpPr>
      <xdr:spPr>
        <a:xfrm>
          <a:off x="28956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27</xdr:col>
      <xdr:colOff>38100</xdr:colOff>
      <xdr:row>14</xdr:row>
      <xdr:rowOff>57150</xdr:rowOff>
    </xdr:from>
    <xdr:to>
      <xdr:col>27</xdr:col>
      <xdr:colOff>104775</xdr:colOff>
      <xdr:row>14</xdr:row>
      <xdr:rowOff>152400</xdr:rowOff>
    </xdr:to>
    <xdr:sp macro="" textlink="">
      <xdr:nvSpPr>
        <xdr:cNvPr id="733" name="Diagrama de flujo: conector 732">
          <a:extLst>
            <a:ext uri="{FF2B5EF4-FFF2-40B4-BE49-F238E27FC236}">
              <a16:creationId xmlns:a16="http://schemas.microsoft.com/office/drawing/2014/main" id="{298DE55A-CE01-4905-B691-187BAD1BBBAB}"/>
            </a:ext>
          </a:extLst>
        </xdr:cNvPr>
        <xdr:cNvSpPr/>
      </xdr:nvSpPr>
      <xdr:spPr>
        <a:xfrm>
          <a:off x="19621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27</xdr:col>
      <xdr:colOff>38100</xdr:colOff>
      <xdr:row>15</xdr:row>
      <xdr:rowOff>57150</xdr:rowOff>
    </xdr:from>
    <xdr:to>
      <xdr:col>27</xdr:col>
      <xdr:colOff>104775</xdr:colOff>
      <xdr:row>15</xdr:row>
      <xdr:rowOff>152400</xdr:rowOff>
    </xdr:to>
    <xdr:sp macro="" textlink="">
      <xdr:nvSpPr>
        <xdr:cNvPr id="734" name="Diagrama de flujo: conector 733">
          <a:extLst>
            <a:ext uri="{FF2B5EF4-FFF2-40B4-BE49-F238E27FC236}">
              <a16:creationId xmlns:a16="http://schemas.microsoft.com/office/drawing/2014/main" id="{E56E1846-C713-4D22-926E-3F1FDF37FF80}"/>
            </a:ext>
          </a:extLst>
        </xdr:cNvPr>
        <xdr:cNvSpPr/>
      </xdr:nvSpPr>
      <xdr:spPr>
        <a:xfrm>
          <a:off x="19621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27</xdr:col>
      <xdr:colOff>38100</xdr:colOff>
      <xdr:row>16</xdr:row>
      <xdr:rowOff>57150</xdr:rowOff>
    </xdr:from>
    <xdr:to>
      <xdr:col>27</xdr:col>
      <xdr:colOff>104775</xdr:colOff>
      <xdr:row>16</xdr:row>
      <xdr:rowOff>152400</xdr:rowOff>
    </xdr:to>
    <xdr:sp macro="" textlink="">
      <xdr:nvSpPr>
        <xdr:cNvPr id="735" name="Diagrama de flujo: conector 734">
          <a:extLst>
            <a:ext uri="{FF2B5EF4-FFF2-40B4-BE49-F238E27FC236}">
              <a16:creationId xmlns:a16="http://schemas.microsoft.com/office/drawing/2014/main" id="{F06AAA28-3695-4705-AA99-136D8E41258F}"/>
            </a:ext>
          </a:extLst>
        </xdr:cNvPr>
        <xdr:cNvSpPr/>
      </xdr:nvSpPr>
      <xdr:spPr>
        <a:xfrm>
          <a:off x="19621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27</xdr:col>
      <xdr:colOff>38100</xdr:colOff>
      <xdr:row>17</xdr:row>
      <xdr:rowOff>57150</xdr:rowOff>
    </xdr:from>
    <xdr:to>
      <xdr:col>27</xdr:col>
      <xdr:colOff>104775</xdr:colOff>
      <xdr:row>17</xdr:row>
      <xdr:rowOff>152400</xdr:rowOff>
    </xdr:to>
    <xdr:sp macro="" textlink="">
      <xdr:nvSpPr>
        <xdr:cNvPr id="736" name="Diagrama de flujo: conector 735">
          <a:extLst>
            <a:ext uri="{FF2B5EF4-FFF2-40B4-BE49-F238E27FC236}">
              <a16:creationId xmlns:a16="http://schemas.microsoft.com/office/drawing/2014/main" id="{0F71B9F9-497D-4EC6-A018-9391DC694BB7}"/>
            </a:ext>
          </a:extLst>
        </xdr:cNvPr>
        <xdr:cNvSpPr/>
      </xdr:nvSpPr>
      <xdr:spPr>
        <a:xfrm>
          <a:off x="19621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27</xdr:col>
      <xdr:colOff>38100</xdr:colOff>
      <xdr:row>18</xdr:row>
      <xdr:rowOff>47625</xdr:rowOff>
    </xdr:from>
    <xdr:to>
      <xdr:col>27</xdr:col>
      <xdr:colOff>104775</xdr:colOff>
      <xdr:row>18</xdr:row>
      <xdr:rowOff>142875</xdr:rowOff>
    </xdr:to>
    <xdr:sp macro="" textlink="">
      <xdr:nvSpPr>
        <xdr:cNvPr id="738" name="Diagrama de flujo: conector 737">
          <a:extLst>
            <a:ext uri="{FF2B5EF4-FFF2-40B4-BE49-F238E27FC236}">
              <a16:creationId xmlns:a16="http://schemas.microsoft.com/office/drawing/2014/main" id="{C8BC4600-C605-4263-8AF8-DA9F3085ACB8}"/>
            </a:ext>
          </a:extLst>
        </xdr:cNvPr>
        <xdr:cNvSpPr/>
      </xdr:nvSpPr>
      <xdr:spPr>
        <a:xfrm>
          <a:off x="19621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27</xdr:col>
      <xdr:colOff>38100</xdr:colOff>
      <xdr:row>19</xdr:row>
      <xdr:rowOff>57150</xdr:rowOff>
    </xdr:from>
    <xdr:to>
      <xdr:col>27</xdr:col>
      <xdr:colOff>104775</xdr:colOff>
      <xdr:row>19</xdr:row>
      <xdr:rowOff>152400</xdr:rowOff>
    </xdr:to>
    <xdr:sp macro="" textlink="">
      <xdr:nvSpPr>
        <xdr:cNvPr id="739" name="Diagrama de flujo: conector 738">
          <a:extLst>
            <a:ext uri="{FF2B5EF4-FFF2-40B4-BE49-F238E27FC236}">
              <a16:creationId xmlns:a16="http://schemas.microsoft.com/office/drawing/2014/main" id="{3679A08C-3F32-4A05-B0A0-623D3D7FD1E0}"/>
            </a:ext>
          </a:extLst>
        </xdr:cNvPr>
        <xdr:cNvSpPr/>
      </xdr:nvSpPr>
      <xdr:spPr>
        <a:xfrm>
          <a:off x="19621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27</xdr:col>
      <xdr:colOff>38100</xdr:colOff>
      <xdr:row>20</xdr:row>
      <xdr:rowOff>57150</xdr:rowOff>
    </xdr:from>
    <xdr:to>
      <xdr:col>27</xdr:col>
      <xdr:colOff>104775</xdr:colOff>
      <xdr:row>20</xdr:row>
      <xdr:rowOff>152400</xdr:rowOff>
    </xdr:to>
    <xdr:sp macro="" textlink="">
      <xdr:nvSpPr>
        <xdr:cNvPr id="740" name="Diagrama de flujo: conector 739">
          <a:extLst>
            <a:ext uri="{FF2B5EF4-FFF2-40B4-BE49-F238E27FC236}">
              <a16:creationId xmlns:a16="http://schemas.microsoft.com/office/drawing/2014/main" id="{51286525-A3AF-4D27-AB4F-C1E45B599AC8}"/>
            </a:ext>
          </a:extLst>
        </xdr:cNvPr>
        <xdr:cNvSpPr/>
      </xdr:nvSpPr>
      <xdr:spPr>
        <a:xfrm>
          <a:off x="19621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27</xdr:col>
      <xdr:colOff>38100</xdr:colOff>
      <xdr:row>21</xdr:row>
      <xdr:rowOff>47625</xdr:rowOff>
    </xdr:from>
    <xdr:to>
      <xdr:col>27</xdr:col>
      <xdr:colOff>104775</xdr:colOff>
      <xdr:row>21</xdr:row>
      <xdr:rowOff>142875</xdr:rowOff>
    </xdr:to>
    <xdr:sp macro="" textlink="">
      <xdr:nvSpPr>
        <xdr:cNvPr id="742" name="Diagrama de flujo: conector 741">
          <a:extLst>
            <a:ext uri="{FF2B5EF4-FFF2-40B4-BE49-F238E27FC236}">
              <a16:creationId xmlns:a16="http://schemas.microsoft.com/office/drawing/2014/main" id="{B01B1806-7848-46DF-BB6E-9985479C735E}"/>
            </a:ext>
          </a:extLst>
        </xdr:cNvPr>
        <xdr:cNvSpPr/>
      </xdr:nvSpPr>
      <xdr:spPr>
        <a:xfrm>
          <a:off x="19621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38100</xdr:colOff>
      <xdr:row>14</xdr:row>
      <xdr:rowOff>57150</xdr:rowOff>
    </xdr:from>
    <xdr:to>
      <xdr:col>16</xdr:col>
      <xdr:colOff>104775</xdr:colOff>
      <xdr:row>14</xdr:row>
      <xdr:rowOff>152400</xdr:rowOff>
    </xdr:to>
    <xdr:sp macro="" textlink="">
      <xdr:nvSpPr>
        <xdr:cNvPr id="743" name="Diagrama de flujo: conector 742">
          <a:extLst>
            <a:ext uri="{FF2B5EF4-FFF2-40B4-BE49-F238E27FC236}">
              <a16:creationId xmlns:a16="http://schemas.microsoft.com/office/drawing/2014/main" id="{0F3D7D96-92FC-4421-BC9C-CE1B5D900445}"/>
            </a:ext>
          </a:extLst>
        </xdr:cNvPr>
        <xdr:cNvSpPr/>
      </xdr:nvSpPr>
      <xdr:spPr>
        <a:xfrm>
          <a:off x="20955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38100</xdr:colOff>
      <xdr:row>15</xdr:row>
      <xdr:rowOff>57150</xdr:rowOff>
    </xdr:from>
    <xdr:to>
      <xdr:col>16</xdr:col>
      <xdr:colOff>104775</xdr:colOff>
      <xdr:row>15</xdr:row>
      <xdr:rowOff>152400</xdr:rowOff>
    </xdr:to>
    <xdr:sp macro="" textlink="">
      <xdr:nvSpPr>
        <xdr:cNvPr id="744" name="Diagrama de flujo: conector 743">
          <a:extLst>
            <a:ext uri="{FF2B5EF4-FFF2-40B4-BE49-F238E27FC236}">
              <a16:creationId xmlns:a16="http://schemas.microsoft.com/office/drawing/2014/main" id="{95464484-645F-4F72-AD07-1A05C60C570A}"/>
            </a:ext>
          </a:extLst>
        </xdr:cNvPr>
        <xdr:cNvSpPr/>
      </xdr:nvSpPr>
      <xdr:spPr>
        <a:xfrm>
          <a:off x="20955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38100</xdr:colOff>
      <xdr:row>16</xdr:row>
      <xdr:rowOff>57150</xdr:rowOff>
    </xdr:from>
    <xdr:to>
      <xdr:col>16</xdr:col>
      <xdr:colOff>104775</xdr:colOff>
      <xdr:row>16</xdr:row>
      <xdr:rowOff>152400</xdr:rowOff>
    </xdr:to>
    <xdr:sp macro="" textlink="">
      <xdr:nvSpPr>
        <xdr:cNvPr id="745" name="Diagrama de flujo: conector 744">
          <a:extLst>
            <a:ext uri="{FF2B5EF4-FFF2-40B4-BE49-F238E27FC236}">
              <a16:creationId xmlns:a16="http://schemas.microsoft.com/office/drawing/2014/main" id="{067582C3-2453-4238-81F3-682D18798945}"/>
            </a:ext>
          </a:extLst>
        </xdr:cNvPr>
        <xdr:cNvSpPr/>
      </xdr:nvSpPr>
      <xdr:spPr>
        <a:xfrm>
          <a:off x="20955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38100</xdr:colOff>
      <xdr:row>17</xdr:row>
      <xdr:rowOff>57150</xdr:rowOff>
    </xdr:from>
    <xdr:to>
      <xdr:col>16</xdr:col>
      <xdr:colOff>104775</xdr:colOff>
      <xdr:row>17</xdr:row>
      <xdr:rowOff>152400</xdr:rowOff>
    </xdr:to>
    <xdr:sp macro="" textlink="">
      <xdr:nvSpPr>
        <xdr:cNvPr id="746" name="Diagrama de flujo: conector 745">
          <a:extLst>
            <a:ext uri="{FF2B5EF4-FFF2-40B4-BE49-F238E27FC236}">
              <a16:creationId xmlns:a16="http://schemas.microsoft.com/office/drawing/2014/main" id="{EAB4886C-E7D4-4F0D-AED3-35FEAF5A6E27}"/>
            </a:ext>
          </a:extLst>
        </xdr:cNvPr>
        <xdr:cNvSpPr/>
      </xdr:nvSpPr>
      <xdr:spPr>
        <a:xfrm>
          <a:off x="20955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38100</xdr:colOff>
      <xdr:row>18</xdr:row>
      <xdr:rowOff>47625</xdr:rowOff>
    </xdr:from>
    <xdr:to>
      <xdr:col>16</xdr:col>
      <xdr:colOff>104775</xdr:colOff>
      <xdr:row>18</xdr:row>
      <xdr:rowOff>142875</xdr:rowOff>
    </xdr:to>
    <xdr:sp macro="" textlink="">
      <xdr:nvSpPr>
        <xdr:cNvPr id="748" name="Diagrama de flujo: conector 747">
          <a:extLst>
            <a:ext uri="{FF2B5EF4-FFF2-40B4-BE49-F238E27FC236}">
              <a16:creationId xmlns:a16="http://schemas.microsoft.com/office/drawing/2014/main" id="{5E2B9059-BB4A-4657-9054-19F4EC939D6B}"/>
            </a:ext>
          </a:extLst>
        </xdr:cNvPr>
        <xdr:cNvSpPr/>
      </xdr:nvSpPr>
      <xdr:spPr>
        <a:xfrm>
          <a:off x="20955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38100</xdr:colOff>
      <xdr:row>19</xdr:row>
      <xdr:rowOff>57150</xdr:rowOff>
    </xdr:from>
    <xdr:to>
      <xdr:col>16</xdr:col>
      <xdr:colOff>104775</xdr:colOff>
      <xdr:row>19</xdr:row>
      <xdr:rowOff>152400</xdr:rowOff>
    </xdr:to>
    <xdr:sp macro="" textlink="">
      <xdr:nvSpPr>
        <xdr:cNvPr id="749" name="Diagrama de flujo: conector 748">
          <a:extLst>
            <a:ext uri="{FF2B5EF4-FFF2-40B4-BE49-F238E27FC236}">
              <a16:creationId xmlns:a16="http://schemas.microsoft.com/office/drawing/2014/main" id="{776EF377-10C2-4E81-B569-97D53366F048}"/>
            </a:ext>
          </a:extLst>
        </xdr:cNvPr>
        <xdr:cNvSpPr/>
      </xdr:nvSpPr>
      <xdr:spPr>
        <a:xfrm>
          <a:off x="20955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38100</xdr:colOff>
      <xdr:row>20</xdr:row>
      <xdr:rowOff>57150</xdr:rowOff>
    </xdr:from>
    <xdr:to>
      <xdr:col>16</xdr:col>
      <xdr:colOff>104775</xdr:colOff>
      <xdr:row>20</xdr:row>
      <xdr:rowOff>152400</xdr:rowOff>
    </xdr:to>
    <xdr:sp macro="" textlink="">
      <xdr:nvSpPr>
        <xdr:cNvPr id="750" name="Diagrama de flujo: conector 749">
          <a:extLst>
            <a:ext uri="{FF2B5EF4-FFF2-40B4-BE49-F238E27FC236}">
              <a16:creationId xmlns:a16="http://schemas.microsoft.com/office/drawing/2014/main" id="{29D65AE7-DC49-4ACE-AEFA-C5187EC12813}"/>
            </a:ext>
          </a:extLst>
        </xdr:cNvPr>
        <xdr:cNvSpPr/>
      </xdr:nvSpPr>
      <xdr:spPr>
        <a:xfrm>
          <a:off x="20955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38100</xdr:colOff>
      <xdr:row>21</xdr:row>
      <xdr:rowOff>47625</xdr:rowOff>
    </xdr:from>
    <xdr:to>
      <xdr:col>16</xdr:col>
      <xdr:colOff>104775</xdr:colOff>
      <xdr:row>21</xdr:row>
      <xdr:rowOff>142875</xdr:rowOff>
    </xdr:to>
    <xdr:sp macro="" textlink="">
      <xdr:nvSpPr>
        <xdr:cNvPr id="752" name="Diagrama de flujo: conector 751">
          <a:extLst>
            <a:ext uri="{FF2B5EF4-FFF2-40B4-BE49-F238E27FC236}">
              <a16:creationId xmlns:a16="http://schemas.microsoft.com/office/drawing/2014/main" id="{83DC0AA6-0C1C-42F2-8D70-F0EE9FCD24A9}"/>
            </a:ext>
          </a:extLst>
        </xdr:cNvPr>
        <xdr:cNvSpPr/>
      </xdr:nvSpPr>
      <xdr:spPr>
        <a:xfrm>
          <a:off x="20955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38100</xdr:colOff>
      <xdr:row>14</xdr:row>
      <xdr:rowOff>57150</xdr:rowOff>
    </xdr:from>
    <xdr:to>
      <xdr:col>17</xdr:col>
      <xdr:colOff>104775</xdr:colOff>
      <xdr:row>14</xdr:row>
      <xdr:rowOff>152400</xdr:rowOff>
    </xdr:to>
    <xdr:sp macro="" textlink="">
      <xdr:nvSpPr>
        <xdr:cNvPr id="753" name="Diagrama de flujo: conector 752">
          <a:extLst>
            <a:ext uri="{FF2B5EF4-FFF2-40B4-BE49-F238E27FC236}">
              <a16:creationId xmlns:a16="http://schemas.microsoft.com/office/drawing/2014/main" id="{1718DAD7-59E3-4308-96CA-B6B6604256A0}"/>
            </a:ext>
          </a:extLst>
        </xdr:cNvPr>
        <xdr:cNvSpPr/>
      </xdr:nvSpPr>
      <xdr:spPr>
        <a:xfrm>
          <a:off x="22288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38100</xdr:colOff>
      <xdr:row>15</xdr:row>
      <xdr:rowOff>57150</xdr:rowOff>
    </xdr:from>
    <xdr:to>
      <xdr:col>17</xdr:col>
      <xdr:colOff>104775</xdr:colOff>
      <xdr:row>15</xdr:row>
      <xdr:rowOff>152400</xdr:rowOff>
    </xdr:to>
    <xdr:sp macro="" textlink="">
      <xdr:nvSpPr>
        <xdr:cNvPr id="754" name="Diagrama de flujo: conector 753">
          <a:extLst>
            <a:ext uri="{FF2B5EF4-FFF2-40B4-BE49-F238E27FC236}">
              <a16:creationId xmlns:a16="http://schemas.microsoft.com/office/drawing/2014/main" id="{C44C2946-A631-4D16-B8FA-B4BF7E0DA33E}"/>
            </a:ext>
          </a:extLst>
        </xdr:cNvPr>
        <xdr:cNvSpPr/>
      </xdr:nvSpPr>
      <xdr:spPr>
        <a:xfrm>
          <a:off x="22288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38100</xdr:colOff>
      <xdr:row>16</xdr:row>
      <xdr:rowOff>57150</xdr:rowOff>
    </xdr:from>
    <xdr:to>
      <xdr:col>17</xdr:col>
      <xdr:colOff>104775</xdr:colOff>
      <xdr:row>16</xdr:row>
      <xdr:rowOff>152400</xdr:rowOff>
    </xdr:to>
    <xdr:sp macro="" textlink="">
      <xdr:nvSpPr>
        <xdr:cNvPr id="755" name="Diagrama de flujo: conector 754">
          <a:extLst>
            <a:ext uri="{FF2B5EF4-FFF2-40B4-BE49-F238E27FC236}">
              <a16:creationId xmlns:a16="http://schemas.microsoft.com/office/drawing/2014/main" id="{9CF15E96-FE8F-45F0-92E6-3F22FC472C88}"/>
            </a:ext>
          </a:extLst>
        </xdr:cNvPr>
        <xdr:cNvSpPr/>
      </xdr:nvSpPr>
      <xdr:spPr>
        <a:xfrm>
          <a:off x="22288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38100</xdr:colOff>
      <xdr:row>17</xdr:row>
      <xdr:rowOff>57150</xdr:rowOff>
    </xdr:from>
    <xdr:to>
      <xdr:col>17</xdr:col>
      <xdr:colOff>104775</xdr:colOff>
      <xdr:row>17</xdr:row>
      <xdr:rowOff>152400</xdr:rowOff>
    </xdr:to>
    <xdr:sp macro="" textlink="">
      <xdr:nvSpPr>
        <xdr:cNvPr id="756" name="Diagrama de flujo: conector 755">
          <a:extLst>
            <a:ext uri="{FF2B5EF4-FFF2-40B4-BE49-F238E27FC236}">
              <a16:creationId xmlns:a16="http://schemas.microsoft.com/office/drawing/2014/main" id="{0E987239-C869-49F4-A56A-9B82562BFA87}"/>
            </a:ext>
          </a:extLst>
        </xdr:cNvPr>
        <xdr:cNvSpPr/>
      </xdr:nvSpPr>
      <xdr:spPr>
        <a:xfrm>
          <a:off x="22288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38100</xdr:colOff>
      <xdr:row>18</xdr:row>
      <xdr:rowOff>47625</xdr:rowOff>
    </xdr:from>
    <xdr:to>
      <xdr:col>17</xdr:col>
      <xdr:colOff>104775</xdr:colOff>
      <xdr:row>18</xdr:row>
      <xdr:rowOff>142875</xdr:rowOff>
    </xdr:to>
    <xdr:sp macro="" textlink="">
      <xdr:nvSpPr>
        <xdr:cNvPr id="758" name="Diagrama de flujo: conector 757">
          <a:extLst>
            <a:ext uri="{FF2B5EF4-FFF2-40B4-BE49-F238E27FC236}">
              <a16:creationId xmlns:a16="http://schemas.microsoft.com/office/drawing/2014/main" id="{816A3F03-2C42-4215-992B-D71457CC7640}"/>
            </a:ext>
          </a:extLst>
        </xdr:cNvPr>
        <xdr:cNvSpPr/>
      </xdr:nvSpPr>
      <xdr:spPr>
        <a:xfrm>
          <a:off x="22288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38100</xdr:colOff>
      <xdr:row>19</xdr:row>
      <xdr:rowOff>57150</xdr:rowOff>
    </xdr:from>
    <xdr:to>
      <xdr:col>17</xdr:col>
      <xdr:colOff>104775</xdr:colOff>
      <xdr:row>19</xdr:row>
      <xdr:rowOff>152400</xdr:rowOff>
    </xdr:to>
    <xdr:sp macro="" textlink="">
      <xdr:nvSpPr>
        <xdr:cNvPr id="759" name="Diagrama de flujo: conector 758">
          <a:extLst>
            <a:ext uri="{FF2B5EF4-FFF2-40B4-BE49-F238E27FC236}">
              <a16:creationId xmlns:a16="http://schemas.microsoft.com/office/drawing/2014/main" id="{36165CB8-8C65-4FBD-895D-93E011C2FB38}"/>
            </a:ext>
          </a:extLst>
        </xdr:cNvPr>
        <xdr:cNvSpPr/>
      </xdr:nvSpPr>
      <xdr:spPr>
        <a:xfrm>
          <a:off x="22288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38100</xdr:colOff>
      <xdr:row>20</xdr:row>
      <xdr:rowOff>57150</xdr:rowOff>
    </xdr:from>
    <xdr:to>
      <xdr:col>17</xdr:col>
      <xdr:colOff>104775</xdr:colOff>
      <xdr:row>20</xdr:row>
      <xdr:rowOff>152400</xdr:rowOff>
    </xdr:to>
    <xdr:sp macro="" textlink="">
      <xdr:nvSpPr>
        <xdr:cNvPr id="760" name="Diagrama de flujo: conector 759">
          <a:extLst>
            <a:ext uri="{FF2B5EF4-FFF2-40B4-BE49-F238E27FC236}">
              <a16:creationId xmlns:a16="http://schemas.microsoft.com/office/drawing/2014/main" id="{2C76C7AE-A3B4-4953-9D14-0899324CB729}"/>
            </a:ext>
          </a:extLst>
        </xdr:cNvPr>
        <xdr:cNvSpPr/>
      </xdr:nvSpPr>
      <xdr:spPr>
        <a:xfrm>
          <a:off x="22288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38100</xdr:colOff>
      <xdr:row>21</xdr:row>
      <xdr:rowOff>47625</xdr:rowOff>
    </xdr:from>
    <xdr:to>
      <xdr:col>17</xdr:col>
      <xdr:colOff>104775</xdr:colOff>
      <xdr:row>21</xdr:row>
      <xdr:rowOff>142875</xdr:rowOff>
    </xdr:to>
    <xdr:sp macro="" textlink="">
      <xdr:nvSpPr>
        <xdr:cNvPr id="762" name="Diagrama de flujo: conector 761">
          <a:extLst>
            <a:ext uri="{FF2B5EF4-FFF2-40B4-BE49-F238E27FC236}">
              <a16:creationId xmlns:a16="http://schemas.microsoft.com/office/drawing/2014/main" id="{06CE1185-699B-4416-82BE-86074C8564C3}"/>
            </a:ext>
          </a:extLst>
        </xdr:cNvPr>
        <xdr:cNvSpPr/>
      </xdr:nvSpPr>
      <xdr:spPr>
        <a:xfrm>
          <a:off x="22288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38100</xdr:colOff>
      <xdr:row>14</xdr:row>
      <xdr:rowOff>57150</xdr:rowOff>
    </xdr:from>
    <xdr:to>
      <xdr:col>18</xdr:col>
      <xdr:colOff>104775</xdr:colOff>
      <xdr:row>14</xdr:row>
      <xdr:rowOff>152400</xdr:rowOff>
    </xdr:to>
    <xdr:sp macro="" textlink="">
      <xdr:nvSpPr>
        <xdr:cNvPr id="763" name="Diagrama de flujo: conector 762">
          <a:extLst>
            <a:ext uri="{FF2B5EF4-FFF2-40B4-BE49-F238E27FC236}">
              <a16:creationId xmlns:a16="http://schemas.microsoft.com/office/drawing/2014/main" id="{175F5902-874F-41B3-82BE-84AA5FDE5541}"/>
            </a:ext>
          </a:extLst>
        </xdr:cNvPr>
        <xdr:cNvSpPr/>
      </xdr:nvSpPr>
      <xdr:spPr>
        <a:xfrm>
          <a:off x="23622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38100</xdr:colOff>
      <xdr:row>15</xdr:row>
      <xdr:rowOff>57150</xdr:rowOff>
    </xdr:from>
    <xdr:to>
      <xdr:col>18</xdr:col>
      <xdr:colOff>104775</xdr:colOff>
      <xdr:row>15</xdr:row>
      <xdr:rowOff>152400</xdr:rowOff>
    </xdr:to>
    <xdr:sp macro="" textlink="">
      <xdr:nvSpPr>
        <xdr:cNvPr id="764" name="Diagrama de flujo: conector 763">
          <a:extLst>
            <a:ext uri="{FF2B5EF4-FFF2-40B4-BE49-F238E27FC236}">
              <a16:creationId xmlns:a16="http://schemas.microsoft.com/office/drawing/2014/main" id="{19046591-8241-4E3C-9BF7-9FE28A24C417}"/>
            </a:ext>
          </a:extLst>
        </xdr:cNvPr>
        <xdr:cNvSpPr/>
      </xdr:nvSpPr>
      <xdr:spPr>
        <a:xfrm>
          <a:off x="23622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38100</xdr:colOff>
      <xdr:row>16</xdr:row>
      <xdr:rowOff>57150</xdr:rowOff>
    </xdr:from>
    <xdr:to>
      <xdr:col>18</xdr:col>
      <xdr:colOff>104775</xdr:colOff>
      <xdr:row>16</xdr:row>
      <xdr:rowOff>152400</xdr:rowOff>
    </xdr:to>
    <xdr:sp macro="" textlink="">
      <xdr:nvSpPr>
        <xdr:cNvPr id="765" name="Diagrama de flujo: conector 764">
          <a:extLst>
            <a:ext uri="{FF2B5EF4-FFF2-40B4-BE49-F238E27FC236}">
              <a16:creationId xmlns:a16="http://schemas.microsoft.com/office/drawing/2014/main" id="{8E50BEE6-B1CF-42BE-8D93-7E4D67561F09}"/>
            </a:ext>
          </a:extLst>
        </xdr:cNvPr>
        <xdr:cNvSpPr/>
      </xdr:nvSpPr>
      <xdr:spPr>
        <a:xfrm>
          <a:off x="23622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38100</xdr:colOff>
      <xdr:row>17</xdr:row>
      <xdr:rowOff>57150</xdr:rowOff>
    </xdr:from>
    <xdr:to>
      <xdr:col>18</xdr:col>
      <xdr:colOff>104775</xdr:colOff>
      <xdr:row>17</xdr:row>
      <xdr:rowOff>152400</xdr:rowOff>
    </xdr:to>
    <xdr:sp macro="" textlink="">
      <xdr:nvSpPr>
        <xdr:cNvPr id="766" name="Diagrama de flujo: conector 765">
          <a:extLst>
            <a:ext uri="{FF2B5EF4-FFF2-40B4-BE49-F238E27FC236}">
              <a16:creationId xmlns:a16="http://schemas.microsoft.com/office/drawing/2014/main" id="{1372FF11-2343-4EA4-8DF7-B93A93D14776}"/>
            </a:ext>
          </a:extLst>
        </xdr:cNvPr>
        <xdr:cNvSpPr/>
      </xdr:nvSpPr>
      <xdr:spPr>
        <a:xfrm>
          <a:off x="23622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38100</xdr:colOff>
      <xdr:row>18</xdr:row>
      <xdr:rowOff>47625</xdr:rowOff>
    </xdr:from>
    <xdr:to>
      <xdr:col>18</xdr:col>
      <xdr:colOff>104775</xdr:colOff>
      <xdr:row>18</xdr:row>
      <xdr:rowOff>142875</xdr:rowOff>
    </xdr:to>
    <xdr:sp macro="" textlink="">
      <xdr:nvSpPr>
        <xdr:cNvPr id="768" name="Diagrama de flujo: conector 767">
          <a:extLst>
            <a:ext uri="{FF2B5EF4-FFF2-40B4-BE49-F238E27FC236}">
              <a16:creationId xmlns:a16="http://schemas.microsoft.com/office/drawing/2014/main" id="{F689A8C0-3B52-4889-8B63-84EA3ED2698F}"/>
            </a:ext>
          </a:extLst>
        </xdr:cNvPr>
        <xdr:cNvSpPr/>
      </xdr:nvSpPr>
      <xdr:spPr>
        <a:xfrm>
          <a:off x="23622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38100</xdr:colOff>
      <xdr:row>19</xdr:row>
      <xdr:rowOff>57150</xdr:rowOff>
    </xdr:from>
    <xdr:to>
      <xdr:col>18</xdr:col>
      <xdr:colOff>104775</xdr:colOff>
      <xdr:row>19</xdr:row>
      <xdr:rowOff>152400</xdr:rowOff>
    </xdr:to>
    <xdr:sp macro="" textlink="">
      <xdr:nvSpPr>
        <xdr:cNvPr id="769" name="Diagrama de flujo: conector 768">
          <a:extLst>
            <a:ext uri="{FF2B5EF4-FFF2-40B4-BE49-F238E27FC236}">
              <a16:creationId xmlns:a16="http://schemas.microsoft.com/office/drawing/2014/main" id="{B9BCFF78-972E-4FF6-AECB-27556A9DC388}"/>
            </a:ext>
          </a:extLst>
        </xdr:cNvPr>
        <xdr:cNvSpPr/>
      </xdr:nvSpPr>
      <xdr:spPr>
        <a:xfrm>
          <a:off x="23622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38100</xdr:colOff>
      <xdr:row>20</xdr:row>
      <xdr:rowOff>57150</xdr:rowOff>
    </xdr:from>
    <xdr:to>
      <xdr:col>18</xdr:col>
      <xdr:colOff>104775</xdr:colOff>
      <xdr:row>20</xdr:row>
      <xdr:rowOff>152400</xdr:rowOff>
    </xdr:to>
    <xdr:sp macro="" textlink="">
      <xdr:nvSpPr>
        <xdr:cNvPr id="770" name="Diagrama de flujo: conector 769">
          <a:extLst>
            <a:ext uri="{FF2B5EF4-FFF2-40B4-BE49-F238E27FC236}">
              <a16:creationId xmlns:a16="http://schemas.microsoft.com/office/drawing/2014/main" id="{8769AEB7-8E9F-471D-B793-BE3CFABD336C}"/>
            </a:ext>
          </a:extLst>
        </xdr:cNvPr>
        <xdr:cNvSpPr/>
      </xdr:nvSpPr>
      <xdr:spPr>
        <a:xfrm>
          <a:off x="23622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38100</xdr:colOff>
      <xdr:row>21</xdr:row>
      <xdr:rowOff>47625</xdr:rowOff>
    </xdr:from>
    <xdr:to>
      <xdr:col>18</xdr:col>
      <xdr:colOff>104775</xdr:colOff>
      <xdr:row>21</xdr:row>
      <xdr:rowOff>142875</xdr:rowOff>
    </xdr:to>
    <xdr:sp macro="" textlink="">
      <xdr:nvSpPr>
        <xdr:cNvPr id="772" name="Diagrama de flujo: conector 771">
          <a:extLst>
            <a:ext uri="{FF2B5EF4-FFF2-40B4-BE49-F238E27FC236}">
              <a16:creationId xmlns:a16="http://schemas.microsoft.com/office/drawing/2014/main" id="{02E65E2F-C47E-4953-A905-6A87E2EAD240}"/>
            </a:ext>
          </a:extLst>
        </xdr:cNvPr>
        <xdr:cNvSpPr/>
      </xdr:nvSpPr>
      <xdr:spPr>
        <a:xfrm>
          <a:off x="23622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38100</xdr:colOff>
      <xdr:row>14</xdr:row>
      <xdr:rowOff>57150</xdr:rowOff>
    </xdr:from>
    <xdr:to>
      <xdr:col>19</xdr:col>
      <xdr:colOff>104775</xdr:colOff>
      <xdr:row>14</xdr:row>
      <xdr:rowOff>152400</xdr:rowOff>
    </xdr:to>
    <xdr:sp macro="" textlink="">
      <xdr:nvSpPr>
        <xdr:cNvPr id="773" name="Diagrama de flujo: conector 772">
          <a:extLst>
            <a:ext uri="{FF2B5EF4-FFF2-40B4-BE49-F238E27FC236}">
              <a16:creationId xmlns:a16="http://schemas.microsoft.com/office/drawing/2014/main" id="{74B305C2-45D9-4FE8-9A1D-EEA577B36C1B}"/>
            </a:ext>
          </a:extLst>
        </xdr:cNvPr>
        <xdr:cNvSpPr/>
      </xdr:nvSpPr>
      <xdr:spPr>
        <a:xfrm>
          <a:off x="24955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38100</xdr:colOff>
      <xdr:row>15</xdr:row>
      <xdr:rowOff>57150</xdr:rowOff>
    </xdr:from>
    <xdr:to>
      <xdr:col>19</xdr:col>
      <xdr:colOff>104775</xdr:colOff>
      <xdr:row>15</xdr:row>
      <xdr:rowOff>152400</xdr:rowOff>
    </xdr:to>
    <xdr:sp macro="" textlink="">
      <xdr:nvSpPr>
        <xdr:cNvPr id="774" name="Diagrama de flujo: conector 773">
          <a:extLst>
            <a:ext uri="{FF2B5EF4-FFF2-40B4-BE49-F238E27FC236}">
              <a16:creationId xmlns:a16="http://schemas.microsoft.com/office/drawing/2014/main" id="{6E65849E-877E-4B6F-8607-D6290BF76780}"/>
            </a:ext>
          </a:extLst>
        </xdr:cNvPr>
        <xdr:cNvSpPr/>
      </xdr:nvSpPr>
      <xdr:spPr>
        <a:xfrm>
          <a:off x="24955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38100</xdr:colOff>
      <xdr:row>16</xdr:row>
      <xdr:rowOff>57150</xdr:rowOff>
    </xdr:from>
    <xdr:to>
      <xdr:col>19</xdr:col>
      <xdr:colOff>104775</xdr:colOff>
      <xdr:row>16</xdr:row>
      <xdr:rowOff>152400</xdr:rowOff>
    </xdr:to>
    <xdr:sp macro="" textlink="">
      <xdr:nvSpPr>
        <xdr:cNvPr id="775" name="Diagrama de flujo: conector 774">
          <a:extLst>
            <a:ext uri="{FF2B5EF4-FFF2-40B4-BE49-F238E27FC236}">
              <a16:creationId xmlns:a16="http://schemas.microsoft.com/office/drawing/2014/main" id="{FC6DAED8-82D5-491A-8012-87849CB7DDEE}"/>
            </a:ext>
          </a:extLst>
        </xdr:cNvPr>
        <xdr:cNvSpPr/>
      </xdr:nvSpPr>
      <xdr:spPr>
        <a:xfrm>
          <a:off x="24955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38100</xdr:colOff>
      <xdr:row>17</xdr:row>
      <xdr:rowOff>57150</xdr:rowOff>
    </xdr:from>
    <xdr:to>
      <xdr:col>19</xdr:col>
      <xdr:colOff>104775</xdr:colOff>
      <xdr:row>17</xdr:row>
      <xdr:rowOff>152400</xdr:rowOff>
    </xdr:to>
    <xdr:sp macro="" textlink="">
      <xdr:nvSpPr>
        <xdr:cNvPr id="776" name="Diagrama de flujo: conector 775">
          <a:extLst>
            <a:ext uri="{FF2B5EF4-FFF2-40B4-BE49-F238E27FC236}">
              <a16:creationId xmlns:a16="http://schemas.microsoft.com/office/drawing/2014/main" id="{A8458D3C-A635-4BE0-B94A-7A37CB5CF333}"/>
            </a:ext>
          </a:extLst>
        </xdr:cNvPr>
        <xdr:cNvSpPr/>
      </xdr:nvSpPr>
      <xdr:spPr>
        <a:xfrm>
          <a:off x="24955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38100</xdr:colOff>
      <xdr:row>18</xdr:row>
      <xdr:rowOff>47625</xdr:rowOff>
    </xdr:from>
    <xdr:to>
      <xdr:col>19</xdr:col>
      <xdr:colOff>104775</xdr:colOff>
      <xdr:row>18</xdr:row>
      <xdr:rowOff>142875</xdr:rowOff>
    </xdr:to>
    <xdr:sp macro="" textlink="">
      <xdr:nvSpPr>
        <xdr:cNvPr id="778" name="Diagrama de flujo: conector 777">
          <a:extLst>
            <a:ext uri="{FF2B5EF4-FFF2-40B4-BE49-F238E27FC236}">
              <a16:creationId xmlns:a16="http://schemas.microsoft.com/office/drawing/2014/main" id="{15143D8D-B548-44EE-A10B-27A69551213D}"/>
            </a:ext>
          </a:extLst>
        </xdr:cNvPr>
        <xdr:cNvSpPr/>
      </xdr:nvSpPr>
      <xdr:spPr>
        <a:xfrm>
          <a:off x="24955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38100</xdr:colOff>
      <xdr:row>19</xdr:row>
      <xdr:rowOff>57150</xdr:rowOff>
    </xdr:from>
    <xdr:to>
      <xdr:col>19</xdr:col>
      <xdr:colOff>104775</xdr:colOff>
      <xdr:row>19</xdr:row>
      <xdr:rowOff>152400</xdr:rowOff>
    </xdr:to>
    <xdr:sp macro="" textlink="">
      <xdr:nvSpPr>
        <xdr:cNvPr id="779" name="Diagrama de flujo: conector 778">
          <a:extLst>
            <a:ext uri="{FF2B5EF4-FFF2-40B4-BE49-F238E27FC236}">
              <a16:creationId xmlns:a16="http://schemas.microsoft.com/office/drawing/2014/main" id="{E5AAC5F1-A505-4B7F-9009-D2E4C9E306C5}"/>
            </a:ext>
          </a:extLst>
        </xdr:cNvPr>
        <xdr:cNvSpPr/>
      </xdr:nvSpPr>
      <xdr:spPr>
        <a:xfrm>
          <a:off x="24955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38100</xdr:colOff>
      <xdr:row>20</xdr:row>
      <xdr:rowOff>57150</xdr:rowOff>
    </xdr:from>
    <xdr:to>
      <xdr:col>19</xdr:col>
      <xdr:colOff>104775</xdr:colOff>
      <xdr:row>20</xdr:row>
      <xdr:rowOff>152400</xdr:rowOff>
    </xdr:to>
    <xdr:sp macro="" textlink="">
      <xdr:nvSpPr>
        <xdr:cNvPr id="780" name="Diagrama de flujo: conector 779">
          <a:extLst>
            <a:ext uri="{FF2B5EF4-FFF2-40B4-BE49-F238E27FC236}">
              <a16:creationId xmlns:a16="http://schemas.microsoft.com/office/drawing/2014/main" id="{99BA8325-2D3F-40C0-A310-089789830CDC}"/>
            </a:ext>
          </a:extLst>
        </xdr:cNvPr>
        <xdr:cNvSpPr/>
      </xdr:nvSpPr>
      <xdr:spPr>
        <a:xfrm>
          <a:off x="24955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38100</xdr:colOff>
      <xdr:row>21</xdr:row>
      <xdr:rowOff>47625</xdr:rowOff>
    </xdr:from>
    <xdr:to>
      <xdr:col>19</xdr:col>
      <xdr:colOff>104775</xdr:colOff>
      <xdr:row>21</xdr:row>
      <xdr:rowOff>142875</xdr:rowOff>
    </xdr:to>
    <xdr:sp macro="" textlink="">
      <xdr:nvSpPr>
        <xdr:cNvPr id="782" name="Diagrama de flujo: conector 781">
          <a:extLst>
            <a:ext uri="{FF2B5EF4-FFF2-40B4-BE49-F238E27FC236}">
              <a16:creationId xmlns:a16="http://schemas.microsoft.com/office/drawing/2014/main" id="{D4EF2628-6AFD-4A22-8B1E-B3E9BCBCB218}"/>
            </a:ext>
          </a:extLst>
        </xdr:cNvPr>
        <xdr:cNvSpPr/>
      </xdr:nvSpPr>
      <xdr:spPr>
        <a:xfrm>
          <a:off x="24955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20</xdr:col>
      <xdr:colOff>38100</xdr:colOff>
      <xdr:row>14</xdr:row>
      <xdr:rowOff>57150</xdr:rowOff>
    </xdr:from>
    <xdr:to>
      <xdr:col>20</xdr:col>
      <xdr:colOff>104775</xdr:colOff>
      <xdr:row>14</xdr:row>
      <xdr:rowOff>152400</xdr:rowOff>
    </xdr:to>
    <xdr:sp macro="" textlink="">
      <xdr:nvSpPr>
        <xdr:cNvPr id="783" name="Diagrama de flujo: conector 782">
          <a:extLst>
            <a:ext uri="{FF2B5EF4-FFF2-40B4-BE49-F238E27FC236}">
              <a16:creationId xmlns:a16="http://schemas.microsoft.com/office/drawing/2014/main" id="{BC86637F-C2E3-4655-AEAF-4340E374BEFA}"/>
            </a:ext>
          </a:extLst>
        </xdr:cNvPr>
        <xdr:cNvSpPr/>
      </xdr:nvSpPr>
      <xdr:spPr>
        <a:xfrm>
          <a:off x="26289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20</xdr:col>
      <xdr:colOff>38100</xdr:colOff>
      <xdr:row>15</xdr:row>
      <xdr:rowOff>57150</xdr:rowOff>
    </xdr:from>
    <xdr:to>
      <xdr:col>20</xdr:col>
      <xdr:colOff>104775</xdr:colOff>
      <xdr:row>15</xdr:row>
      <xdr:rowOff>152400</xdr:rowOff>
    </xdr:to>
    <xdr:sp macro="" textlink="">
      <xdr:nvSpPr>
        <xdr:cNvPr id="784" name="Diagrama de flujo: conector 783">
          <a:extLst>
            <a:ext uri="{FF2B5EF4-FFF2-40B4-BE49-F238E27FC236}">
              <a16:creationId xmlns:a16="http://schemas.microsoft.com/office/drawing/2014/main" id="{86E4940A-1602-4436-84CD-9EEE0927F231}"/>
            </a:ext>
          </a:extLst>
        </xdr:cNvPr>
        <xdr:cNvSpPr/>
      </xdr:nvSpPr>
      <xdr:spPr>
        <a:xfrm>
          <a:off x="26289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20</xdr:col>
      <xdr:colOff>38100</xdr:colOff>
      <xdr:row>16</xdr:row>
      <xdr:rowOff>57150</xdr:rowOff>
    </xdr:from>
    <xdr:to>
      <xdr:col>20</xdr:col>
      <xdr:colOff>104775</xdr:colOff>
      <xdr:row>16</xdr:row>
      <xdr:rowOff>152400</xdr:rowOff>
    </xdr:to>
    <xdr:sp macro="" textlink="">
      <xdr:nvSpPr>
        <xdr:cNvPr id="785" name="Diagrama de flujo: conector 784">
          <a:extLst>
            <a:ext uri="{FF2B5EF4-FFF2-40B4-BE49-F238E27FC236}">
              <a16:creationId xmlns:a16="http://schemas.microsoft.com/office/drawing/2014/main" id="{0A0BDBBC-A936-4180-B587-CC9873493377}"/>
            </a:ext>
          </a:extLst>
        </xdr:cNvPr>
        <xdr:cNvSpPr/>
      </xdr:nvSpPr>
      <xdr:spPr>
        <a:xfrm>
          <a:off x="26289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20</xdr:col>
      <xdr:colOff>38100</xdr:colOff>
      <xdr:row>17</xdr:row>
      <xdr:rowOff>57150</xdr:rowOff>
    </xdr:from>
    <xdr:to>
      <xdr:col>20</xdr:col>
      <xdr:colOff>104775</xdr:colOff>
      <xdr:row>17</xdr:row>
      <xdr:rowOff>152400</xdr:rowOff>
    </xdr:to>
    <xdr:sp macro="" textlink="">
      <xdr:nvSpPr>
        <xdr:cNvPr id="786" name="Diagrama de flujo: conector 785">
          <a:extLst>
            <a:ext uri="{FF2B5EF4-FFF2-40B4-BE49-F238E27FC236}">
              <a16:creationId xmlns:a16="http://schemas.microsoft.com/office/drawing/2014/main" id="{9E56BFB8-AB7D-418C-916C-67BE922067C6}"/>
            </a:ext>
          </a:extLst>
        </xdr:cNvPr>
        <xdr:cNvSpPr/>
      </xdr:nvSpPr>
      <xdr:spPr>
        <a:xfrm>
          <a:off x="26289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20</xdr:col>
      <xdr:colOff>38100</xdr:colOff>
      <xdr:row>18</xdr:row>
      <xdr:rowOff>47625</xdr:rowOff>
    </xdr:from>
    <xdr:to>
      <xdr:col>20</xdr:col>
      <xdr:colOff>104775</xdr:colOff>
      <xdr:row>18</xdr:row>
      <xdr:rowOff>142875</xdr:rowOff>
    </xdr:to>
    <xdr:sp macro="" textlink="">
      <xdr:nvSpPr>
        <xdr:cNvPr id="788" name="Diagrama de flujo: conector 787">
          <a:extLst>
            <a:ext uri="{FF2B5EF4-FFF2-40B4-BE49-F238E27FC236}">
              <a16:creationId xmlns:a16="http://schemas.microsoft.com/office/drawing/2014/main" id="{498F4182-A2DB-4448-9D37-470D21400163}"/>
            </a:ext>
          </a:extLst>
        </xdr:cNvPr>
        <xdr:cNvSpPr/>
      </xdr:nvSpPr>
      <xdr:spPr>
        <a:xfrm>
          <a:off x="26289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20</xdr:col>
      <xdr:colOff>38100</xdr:colOff>
      <xdr:row>19</xdr:row>
      <xdr:rowOff>57150</xdr:rowOff>
    </xdr:from>
    <xdr:to>
      <xdr:col>20</xdr:col>
      <xdr:colOff>104775</xdr:colOff>
      <xdr:row>19</xdr:row>
      <xdr:rowOff>152400</xdr:rowOff>
    </xdr:to>
    <xdr:sp macro="" textlink="">
      <xdr:nvSpPr>
        <xdr:cNvPr id="789" name="Diagrama de flujo: conector 788">
          <a:extLst>
            <a:ext uri="{FF2B5EF4-FFF2-40B4-BE49-F238E27FC236}">
              <a16:creationId xmlns:a16="http://schemas.microsoft.com/office/drawing/2014/main" id="{D670EF5F-4116-4110-9752-15E8202FFAA3}"/>
            </a:ext>
          </a:extLst>
        </xdr:cNvPr>
        <xdr:cNvSpPr/>
      </xdr:nvSpPr>
      <xdr:spPr>
        <a:xfrm>
          <a:off x="26289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20</xdr:col>
      <xdr:colOff>38100</xdr:colOff>
      <xdr:row>20</xdr:row>
      <xdr:rowOff>57150</xdr:rowOff>
    </xdr:from>
    <xdr:to>
      <xdr:col>20</xdr:col>
      <xdr:colOff>104775</xdr:colOff>
      <xdr:row>20</xdr:row>
      <xdr:rowOff>152400</xdr:rowOff>
    </xdr:to>
    <xdr:sp macro="" textlink="">
      <xdr:nvSpPr>
        <xdr:cNvPr id="790" name="Diagrama de flujo: conector 789">
          <a:extLst>
            <a:ext uri="{FF2B5EF4-FFF2-40B4-BE49-F238E27FC236}">
              <a16:creationId xmlns:a16="http://schemas.microsoft.com/office/drawing/2014/main" id="{8809ABD6-8EB6-4C7B-BADB-1C24DE694FE0}"/>
            </a:ext>
          </a:extLst>
        </xdr:cNvPr>
        <xdr:cNvSpPr/>
      </xdr:nvSpPr>
      <xdr:spPr>
        <a:xfrm>
          <a:off x="26289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20</xdr:col>
      <xdr:colOff>38100</xdr:colOff>
      <xdr:row>21</xdr:row>
      <xdr:rowOff>47625</xdr:rowOff>
    </xdr:from>
    <xdr:to>
      <xdr:col>20</xdr:col>
      <xdr:colOff>104775</xdr:colOff>
      <xdr:row>21</xdr:row>
      <xdr:rowOff>142875</xdr:rowOff>
    </xdr:to>
    <xdr:sp macro="" textlink="">
      <xdr:nvSpPr>
        <xdr:cNvPr id="792" name="Diagrama de flujo: conector 791">
          <a:extLst>
            <a:ext uri="{FF2B5EF4-FFF2-40B4-BE49-F238E27FC236}">
              <a16:creationId xmlns:a16="http://schemas.microsoft.com/office/drawing/2014/main" id="{F0C6DE88-7E87-4F8C-8E0E-812495EF7D3B}"/>
            </a:ext>
          </a:extLst>
        </xdr:cNvPr>
        <xdr:cNvSpPr/>
      </xdr:nvSpPr>
      <xdr:spPr>
        <a:xfrm>
          <a:off x="26289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21</xdr:col>
      <xdr:colOff>38100</xdr:colOff>
      <xdr:row>14</xdr:row>
      <xdr:rowOff>57150</xdr:rowOff>
    </xdr:from>
    <xdr:to>
      <xdr:col>21</xdr:col>
      <xdr:colOff>104775</xdr:colOff>
      <xdr:row>14</xdr:row>
      <xdr:rowOff>152400</xdr:rowOff>
    </xdr:to>
    <xdr:sp macro="" textlink="">
      <xdr:nvSpPr>
        <xdr:cNvPr id="793" name="Diagrama de flujo: conector 792">
          <a:extLst>
            <a:ext uri="{FF2B5EF4-FFF2-40B4-BE49-F238E27FC236}">
              <a16:creationId xmlns:a16="http://schemas.microsoft.com/office/drawing/2014/main" id="{15ECA1C9-FFDD-4714-86B8-1D5139022764}"/>
            </a:ext>
          </a:extLst>
        </xdr:cNvPr>
        <xdr:cNvSpPr/>
      </xdr:nvSpPr>
      <xdr:spPr>
        <a:xfrm>
          <a:off x="27622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21</xdr:col>
      <xdr:colOff>38100</xdr:colOff>
      <xdr:row>15</xdr:row>
      <xdr:rowOff>57150</xdr:rowOff>
    </xdr:from>
    <xdr:to>
      <xdr:col>21</xdr:col>
      <xdr:colOff>104775</xdr:colOff>
      <xdr:row>15</xdr:row>
      <xdr:rowOff>152400</xdr:rowOff>
    </xdr:to>
    <xdr:sp macro="" textlink="">
      <xdr:nvSpPr>
        <xdr:cNvPr id="794" name="Diagrama de flujo: conector 793">
          <a:extLst>
            <a:ext uri="{FF2B5EF4-FFF2-40B4-BE49-F238E27FC236}">
              <a16:creationId xmlns:a16="http://schemas.microsoft.com/office/drawing/2014/main" id="{2F8B43D9-B0F9-415B-810D-52ADE1FA5FF3}"/>
            </a:ext>
          </a:extLst>
        </xdr:cNvPr>
        <xdr:cNvSpPr/>
      </xdr:nvSpPr>
      <xdr:spPr>
        <a:xfrm>
          <a:off x="27622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21</xdr:col>
      <xdr:colOff>38100</xdr:colOff>
      <xdr:row>16</xdr:row>
      <xdr:rowOff>57150</xdr:rowOff>
    </xdr:from>
    <xdr:to>
      <xdr:col>21</xdr:col>
      <xdr:colOff>104775</xdr:colOff>
      <xdr:row>16</xdr:row>
      <xdr:rowOff>152400</xdr:rowOff>
    </xdr:to>
    <xdr:sp macro="" textlink="">
      <xdr:nvSpPr>
        <xdr:cNvPr id="795" name="Diagrama de flujo: conector 794">
          <a:extLst>
            <a:ext uri="{FF2B5EF4-FFF2-40B4-BE49-F238E27FC236}">
              <a16:creationId xmlns:a16="http://schemas.microsoft.com/office/drawing/2014/main" id="{7131CEC7-A93B-43FA-AC59-1320190971FE}"/>
            </a:ext>
          </a:extLst>
        </xdr:cNvPr>
        <xdr:cNvSpPr/>
      </xdr:nvSpPr>
      <xdr:spPr>
        <a:xfrm>
          <a:off x="27622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21</xdr:col>
      <xdr:colOff>38100</xdr:colOff>
      <xdr:row>17</xdr:row>
      <xdr:rowOff>57150</xdr:rowOff>
    </xdr:from>
    <xdr:to>
      <xdr:col>21</xdr:col>
      <xdr:colOff>104775</xdr:colOff>
      <xdr:row>17</xdr:row>
      <xdr:rowOff>152400</xdr:rowOff>
    </xdr:to>
    <xdr:sp macro="" textlink="">
      <xdr:nvSpPr>
        <xdr:cNvPr id="796" name="Diagrama de flujo: conector 795">
          <a:extLst>
            <a:ext uri="{FF2B5EF4-FFF2-40B4-BE49-F238E27FC236}">
              <a16:creationId xmlns:a16="http://schemas.microsoft.com/office/drawing/2014/main" id="{17939DE6-EF79-48D2-B4A1-A4BA5AC4BDDB}"/>
            </a:ext>
          </a:extLst>
        </xdr:cNvPr>
        <xdr:cNvSpPr/>
      </xdr:nvSpPr>
      <xdr:spPr>
        <a:xfrm>
          <a:off x="27622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21</xdr:col>
      <xdr:colOff>38100</xdr:colOff>
      <xdr:row>18</xdr:row>
      <xdr:rowOff>47625</xdr:rowOff>
    </xdr:from>
    <xdr:to>
      <xdr:col>21</xdr:col>
      <xdr:colOff>104775</xdr:colOff>
      <xdr:row>18</xdr:row>
      <xdr:rowOff>142875</xdr:rowOff>
    </xdr:to>
    <xdr:sp macro="" textlink="">
      <xdr:nvSpPr>
        <xdr:cNvPr id="798" name="Diagrama de flujo: conector 797">
          <a:extLst>
            <a:ext uri="{FF2B5EF4-FFF2-40B4-BE49-F238E27FC236}">
              <a16:creationId xmlns:a16="http://schemas.microsoft.com/office/drawing/2014/main" id="{20098980-B888-4147-A178-A5BC4EAE84FC}"/>
            </a:ext>
          </a:extLst>
        </xdr:cNvPr>
        <xdr:cNvSpPr/>
      </xdr:nvSpPr>
      <xdr:spPr>
        <a:xfrm>
          <a:off x="27622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21</xdr:col>
      <xdr:colOff>38100</xdr:colOff>
      <xdr:row>19</xdr:row>
      <xdr:rowOff>57150</xdr:rowOff>
    </xdr:from>
    <xdr:to>
      <xdr:col>21</xdr:col>
      <xdr:colOff>104775</xdr:colOff>
      <xdr:row>19</xdr:row>
      <xdr:rowOff>152400</xdr:rowOff>
    </xdr:to>
    <xdr:sp macro="" textlink="">
      <xdr:nvSpPr>
        <xdr:cNvPr id="799" name="Diagrama de flujo: conector 798">
          <a:extLst>
            <a:ext uri="{FF2B5EF4-FFF2-40B4-BE49-F238E27FC236}">
              <a16:creationId xmlns:a16="http://schemas.microsoft.com/office/drawing/2014/main" id="{0B4B028E-30F3-4579-87CF-B9E8B2F86248}"/>
            </a:ext>
          </a:extLst>
        </xdr:cNvPr>
        <xdr:cNvSpPr/>
      </xdr:nvSpPr>
      <xdr:spPr>
        <a:xfrm>
          <a:off x="27622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21</xdr:col>
      <xdr:colOff>38100</xdr:colOff>
      <xdr:row>20</xdr:row>
      <xdr:rowOff>57150</xdr:rowOff>
    </xdr:from>
    <xdr:to>
      <xdr:col>21</xdr:col>
      <xdr:colOff>104775</xdr:colOff>
      <xdr:row>20</xdr:row>
      <xdr:rowOff>152400</xdr:rowOff>
    </xdr:to>
    <xdr:sp macro="" textlink="">
      <xdr:nvSpPr>
        <xdr:cNvPr id="800" name="Diagrama de flujo: conector 799">
          <a:extLst>
            <a:ext uri="{FF2B5EF4-FFF2-40B4-BE49-F238E27FC236}">
              <a16:creationId xmlns:a16="http://schemas.microsoft.com/office/drawing/2014/main" id="{772210A0-CCBD-49FD-97BF-A5D42B1CB6AF}"/>
            </a:ext>
          </a:extLst>
        </xdr:cNvPr>
        <xdr:cNvSpPr/>
      </xdr:nvSpPr>
      <xdr:spPr>
        <a:xfrm>
          <a:off x="27622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21</xdr:col>
      <xdr:colOff>38100</xdr:colOff>
      <xdr:row>21</xdr:row>
      <xdr:rowOff>47625</xdr:rowOff>
    </xdr:from>
    <xdr:to>
      <xdr:col>21</xdr:col>
      <xdr:colOff>104775</xdr:colOff>
      <xdr:row>21</xdr:row>
      <xdr:rowOff>142875</xdr:rowOff>
    </xdr:to>
    <xdr:sp macro="" textlink="">
      <xdr:nvSpPr>
        <xdr:cNvPr id="802" name="Diagrama de flujo: conector 801">
          <a:extLst>
            <a:ext uri="{FF2B5EF4-FFF2-40B4-BE49-F238E27FC236}">
              <a16:creationId xmlns:a16="http://schemas.microsoft.com/office/drawing/2014/main" id="{9E2C9AC1-20B9-4E9C-BEE1-EF40D9748C34}"/>
            </a:ext>
          </a:extLst>
        </xdr:cNvPr>
        <xdr:cNvSpPr/>
      </xdr:nvSpPr>
      <xdr:spPr>
        <a:xfrm>
          <a:off x="27622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38100</xdr:colOff>
      <xdr:row>14</xdr:row>
      <xdr:rowOff>57150</xdr:rowOff>
    </xdr:from>
    <xdr:to>
      <xdr:col>22</xdr:col>
      <xdr:colOff>104775</xdr:colOff>
      <xdr:row>14</xdr:row>
      <xdr:rowOff>152400</xdr:rowOff>
    </xdr:to>
    <xdr:sp macro="" textlink="">
      <xdr:nvSpPr>
        <xdr:cNvPr id="803" name="Diagrama de flujo: conector 802">
          <a:extLst>
            <a:ext uri="{FF2B5EF4-FFF2-40B4-BE49-F238E27FC236}">
              <a16:creationId xmlns:a16="http://schemas.microsoft.com/office/drawing/2014/main" id="{ECA0CDD8-0996-443B-98C0-B2DC4DA759FD}"/>
            </a:ext>
          </a:extLst>
        </xdr:cNvPr>
        <xdr:cNvSpPr/>
      </xdr:nvSpPr>
      <xdr:spPr>
        <a:xfrm>
          <a:off x="28956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38100</xdr:colOff>
      <xdr:row>15</xdr:row>
      <xdr:rowOff>57150</xdr:rowOff>
    </xdr:from>
    <xdr:to>
      <xdr:col>22</xdr:col>
      <xdr:colOff>104775</xdr:colOff>
      <xdr:row>15</xdr:row>
      <xdr:rowOff>152400</xdr:rowOff>
    </xdr:to>
    <xdr:sp macro="" textlink="">
      <xdr:nvSpPr>
        <xdr:cNvPr id="804" name="Diagrama de flujo: conector 803">
          <a:extLst>
            <a:ext uri="{FF2B5EF4-FFF2-40B4-BE49-F238E27FC236}">
              <a16:creationId xmlns:a16="http://schemas.microsoft.com/office/drawing/2014/main" id="{52E06DC7-7AAB-4004-A60A-77547C402AEB}"/>
            </a:ext>
          </a:extLst>
        </xdr:cNvPr>
        <xdr:cNvSpPr/>
      </xdr:nvSpPr>
      <xdr:spPr>
        <a:xfrm>
          <a:off x="28956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38100</xdr:colOff>
      <xdr:row>16</xdr:row>
      <xdr:rowOff>57150</xdr:rowOff>
    </xdr:from>
    <xdr:to>
      <xdr:col>22</xdr:col>
      <xdr:colOff>104775</xdr:colOff>
      <xdr:row>16</xdr:row>
      <xdr:rowOff>152400</xdr:rowOff>
    </xdr:to>
    <xdr:sp macro="" textlink="">
      <xdr:nvSpPr>
        <xdr:cNvPr id="805" name="Diagrama de flujo: conector 804">
          <a:extLst>
            <a:ext uri="{FF2B5EF4-FFF2-40B4-BE49-F238E27FC236}">
              <a16:creationId xmlns:a16="http://schemas.microsoft.com/office/drawing/2014/main" id="{44AEB0B2-358D-4FAB-BC0E-1387442918B3}"/>
            </a:ext>
          </a:extLst>
        </xdr:cNvPr>
        <xdr:cNvSpPr/>
      </xdr:nvSpPr>
      <xdr:spPr>
        <a:xfrm>
          <a:off x="28956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38100</xdr:colOff>
      <xdr:row>17</xdr:row>
      <xdr:rowOff>57150</xdr:rowOff>
    </xdr:from>
    <xdr:to>
      <xdr:col>22</xdr:col>
      <xdr:colOff>104775</xdr:colOff>
      <xdr:row>17</xdr:row>
      <xdr:rowOff>152400</xdr:rowOff>
    </xdr:to>
    <xdr:sp macro="" textlink="">
      <xdr:nvSpPr>
        <xdr:cNvPr id="806" name="Diagrama de flujo: conector 805">
          <a:extLst>
            <a:ext uri="{FF2B5EF4-FFF2-40B4-BE49-F238E27FC236}">
              <a16:creationId xmlns:a16="http://schemas.microsoft.com/office/drawing/2014/main" id="{9CAE7721-3BAD-4FD2-A286-78D95792D49D}"/>
            </a:ext>
          </a:extLst>
        </xdr:cNvPr>
        <xdr:cNvSpPr/>
      </xdr:nvSpPr>
      <xdr:spPr>
        <a:xfrm>
          <a:off x="28956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38100</xdr:colOff>
      <xdr:row>18</xdr:row>
      <xdr:rowOff>47625</xdr:rowOff>
    </xdr:from>
    <xdr:to>
      <xdr:col>22</xdr:col>
      <xdr:colOff>104775</xdr:colOff>
      <xdr:row>18</xdr:row>
      <xdr:rowOff>142875</xdr:rowOff>
    </xdr:to>
    <xdr:sp macro="" textlink="">
      <xdr:nvSpPr>
        <xdr:cNvPr id="808" name="Diagrama de flujo: conector 807">
          <a:extLst>
            <a:ext uri="{FF2B5EF4-FFF2-40B4-BE49-F238E27FC236}">
              <a16:creationId xmlns:a16="http://schemas.microsoft.com/office/drawing/2014/main" id="{8E2FAAB3-44E1-4D57-BE9E-7823B6364868}"/>
            </a:ext>
          </a:extLst>
        </xdr:cNvPr>
        <xdr:cNvSpPr/>
      </xdr:nvSpPr>
      <xdr:spPr>
        <a:xfrm>
          <a:off x="28956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38100</xdr:colOff>
      <xdr:row>19</xdr:row>
      <xdr:rowOff>57150</xdr:rowOff>
    </xdr:from>
    <xdr:to>
      <xdr:col>22</xdr:col>
      <xdr:colOff>104775</xdr:colOff>
      <xdr:row>19</xdr:row>
      <xdr:rowOff>152400</xdr:rowOff>
    </xdr:to>
    <xdr:sp macro="" textlink="">
      <xdr:nvSpPr>
        <xdr:cNvPr id="809" name="Diagrama de flujo: conector 808">
          <a:extLst>
            <a:ext uri="{FF2B5EF4-FFF2-40B4-BE49-F238E27FC236}">
              <a16:creationId xmlns:a16="http://schemas.microsoft.com/office/drawing/2014/main" id="{A0C4CF1A-1765-421E-BF57-D7EE54BAFBDB}"/>
            </a:ext>
          </a:extLst>
        </xdr:cNvPr>
        <xdr:cNvSpPr/>
      </xdr:nvSpPr>
      <xdr:spPr>
        <a:xfrm>
          <a:off x="28956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38100</xdr:colOff>
      <xdr:row>20</xdr:row>
      <xdr:rowOff>57150</xdr:rowOff>
    </xdr:from>
    <xdr:to>
      <xdr:col>22</xdr:col>
      <xdr:colOff>104775</xdr:colOff>
      <xdr:row>20</xdr:row>
      <xdr:rowOff>152400</xdr:rowOff>
    </xdr:to>
    <xdr:sp macro="" textlink="">
      <xdr:nvSpPr>
        <xdr:cNvPr id="810" name="Diagrama de flujo: conector 809">
          <a:extLst>
            <a:ext uri="{FF2B5EF4-FFF2-40B4-BE49-F238E27FC236}">
              <a16:creationId xmlns:a16="http://schemas.microsoft.com/office/drawing/2014/main" id="{3116A37C-794D-43DA-8E76-DC430A5F190D}"/>
            </a:ext>
          </a:extLst>
        </xdr:cNvPr>
        <xdr:cNvSpPr/>
      </xdr:nvSpPr>
      <xdr:spPr>
        <a:xfrm>
          <a:off x="28956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38100</xdr:colOff>
      <xdr:row>21</xdr:row>
      <xdr:rowOff>47625</xdr:rowOff>
    </xdr:from>
    <xdr:to>
      <xdr:col>22</xdr:col>
      <xdr:colOff>104775</xdr:colOff>
      <xdr:row>21</xdr:row>
      <xdr:rowOff>142875</xdr:rowOff>
    </xdr:to>
    <xdr:sp macro="" textlink="">
      <xdr:nvSpPr>
        <xdr:cNvPr id="812" name="Diagrama de flujo: conector 811">
          <a:extLst>
            <a:ext uri="{FF2B5EF4-FFF2-40B4-BE49-F238E27FC236}">
              <a16:creationId xmlns:a16="http://schemas.microsoft.com/office/drawing/2014/main" id="{DFA0CE6B-6C95-47B4-8D39-DEF7053DAF5D}"/>
            </a:ext>
          </a:extLst>
        </xdr:cNvPr>
        <xdr:cNvSpPr/>
      </xdr:nvSpPr>
      <xdr:spPr>
        <a:xfrm>
          <a:off x="28956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38100</xdr:colOff>
      <xdr:row>14</xdr:row>
      <xdr:rowOff>57150</xdr:rowOff>
    </xdr:from>
    <xdr:to>
      <xdr:col>15</xdr:col>
      <xdr:colOff>104775</xdr:colOff>
      <xdr:row>14</xdr:row>
      <xdr:rowOff>152400</xdr:rowOff>
    </xdr:to>
    <xdr:sp macro="" textlink="">
      <xdr:nvSpPr>
        <xdr:cNvPr id="813" name="Diagrama de flujo: conector 812">
          <a:extLst>
            <a:ext uri="{FF2B5EF4-FFF2-40B4-BE49-F238E27FC236}">
              <a16:creationId xmlns:a16="http://schemas.microsoft.com/office/drawing/2014/main" id="{EFA099BF-F19A-4F51-9D98-3F43E1E8267D}"/>
            </a:ext>
          </a:extLst>
        </xdr:cNvPr>
        <xdr:cNvSpPr/>
      </xdr:nvSpPr>
      <xdr:spPr>
        <a:xfrm>
          <a:off x="19621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38100</xdr:colOff>
      <xdr:row>15</xdr:row>
      <xdr:rowOff>57150</xdr:rowOff>
    </xdr:from>
    <xdr:to>
      <xdr:col>15</xdr:col>
      <xdr:colOff>104775</xdr:colOff>
      <xdr:row>15</xdr:row>
      <xdr:rowOff>152400</xdr:rowOff>
    </xdr:to>
    <xdr:sp macro="" textlink="">
      <xdr:nvSpPr>
        <xdr:cNvPr id="814" name="Diagrama de flujo: conector 813">
          <a:extLst>
            <a:ext uri="{FF2B5EF4-FFF2-40B4-BE49-F238E27FC236}">
              <a16:creationId xmlns:a16="http://schemas.microsoft.com/office/drawing/2014/main" id="{9EBAF87C-2C84-41FE-8C46-F2FEB130807C}"/>
            </a:ext>
          </a:extLst>
        </xdr:cNvPr>
        <xdr:cNvSpPr/>
      </xdr:nvSpPr>
      <xdr:spPr>
        <a:xfrm>
          <a:off x="19621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38100</xdr:colOff>
      <xdr:row>16</xdr:row>
      <xdr:rowOff>57150</xdr:rowOff>
    </xdr:from>
    <xdr:to>
      <xdr:col>15</xdr:col>
      <xdr:colOff>104775</xdr:colOff>
      <xdr:row>16</xdr:row>
      <xdr:rowOff>152400</xdr:rowOff>
    </xdr:to>
    <xdr:sp macro="" textlink="">
      <xdr:nvSpPr>
        <xdr:cNvPr id="815" name="Diagrama de flujo: conector 814">
          <a:extLst>
            <a:ext uri="{FF2B5EF4-FFF2-40B4-BE49-F238E27FC236}">
              <a16:creationId xmlns:a16="http://schemas.microsoft.com/office/drawing/2014/main" id="{40383781-BF71-4538-92AC-D3F04AED5F2D}"/>
            </a:ext>
          </a:extLst>
        </xdr:cNvPr>
        <xdr:cNvSpPr/>
      </xdr:nvSpPr>
      <xdr:spPr>
        <a:xfrm>
          <a:off x="19621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38100</xdr:colOff>
      <xdr:row>17</xdr:row>
      <xdr:rowOff>57150</xdr:rowOff>
    </xdr:from>
    <xdr:to>
      <xdr:col>15</xdr:col>
      <xdr:colOff>104775</xdr:colOff>
      <xdr:row>17</xdr:row>
      <xdr:rowOff>152400</xdr:rowOff>
    </xdr:to>
    <xdr:sp macro="" textlink="">
      <xdr:nvSpPr>
        <xdr:cNvPr id="816" name="Diagrama de flujo: conector 815">
          <a:extLst>
            <a:ext uri="{FF2B5EF4-FFF2-40B4-BE49-F238E27FC236}">
              <a16:creationId xmlns:a16="http://schemas.microsoft.com/office/drawing/2014/main" id="{D7EA078D-60A2-4EB0-8665-F7392E8F4A00}"/>
            </a:ext>
          </a:extLst>
        </xdr:cNvPr>
        <xdr:cNvSpPr/>
      </xdr:nvSpPr>
      <xdr:spPr>
        <a:xfrm>
          <a:off x="19621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38100</xdr:colOff>
      <xdr:row>18</xdr:row>
      <xdr:rowOff>47625</xdr:rowOff>
    </xdr:from>
    <xdr:to>
      <xdr:col>15</xdr:col>
      <xdr:colOff>104775</xdr:colOff>
      <xdr:row>18</xdr:row>
      <xdr:rowOff>142875</xdr:rowOff>
    </xdr:to>
    <xdr:sp macro="" textlink="">
      <xdr:nvSpPr>
        <xdr:cNvPr id="818" name="Diagrama de flujo: conector 817">
          <a:extLst>
            <a:ext uri="{FF2B5EF4-FFF2-40B4-BE49-F238E27FC236}">
              <a16:creationId xmlns:a16="http://schemas.microsoft.com/office/drawing/2014/main" id="{31D904E6-4FAD-41EB-8AD4-E16EC9B2F040}"/>
            </a:ext>
          </a:extLst>
        </xdr:cNvPr>
        <xdr:cNvSpPr/>
      </xdr:nvSpPr>
      <xdr:spPr>
        <a:xfrm>
          <a:off x="19621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38100</xdr:colOff>
      <xdr:row>19</xdr:row>
      <xdr:rowOff>57150</xdr:rowOff>
    </xdr:from>
    <xdr:to>
      <xdr:col>15</xdr:col>
      <xdr:colOff>104775</xdr:colOff>
      <xdr:row>19</xdr:row>
      <xdr:rowOff>152400</xdr:rowOff>
    </xdr:to>
    <xdr:sp macro="" textlink="">
      <xdr:nvSpPr>
        <xdr:cNvPr id="819" name="Diagrama de flujo: conector 818">
          <a:extLst>
            <a:ext uri="{FF2B5EF4-FFF2-40B4-BE49-F238E27FC236}">
              <a16:creationId xmlns:a16="http://schemas.microsoft.com/office/drawing/2014/main" id="{DE21EAEF-4028-4F10-A4BF-BDFE8B8BD1D7}"/>
            </a:ext>
          </a:extLst>
        </xdr:cNvPr>
        <xdr:cNvSpPr/>
      </xdr:nvSpPr>
      <xdr:spPr>
        <a:xfrm>
          <a:off x="19621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38100</xdr:colOff>
      <xdr:row>20</xdr:row>
      <xdr:rowOff>57150</xdr:rowOff>
    </xdr:from>
    <xdr:to>
      <xdr:col>15</xdr:col>
      <xdr:colOff>104775</xdr:colOff>
      <xdr:row>20</xdr:row>
      <xdr:rowOff>152400</xdr:rowOff>
    </xdr:to>
    <xdr:sp macro="" textlink="">
      <xdr:nvSpPr>
        <xdr:cNvPr id="820" name="Diagrama de flujo: conector 819">
          <a:extLst>
            <a:ext uri="{FF2B5EF4-FFF2-40B4-BE49-F238E27FC236}">
              <a16:creationId xmlns:a16="http://schemas.microsoft.com/office/drawing/2014/main" id="{7EF11246-0C09-415E-A510-5F40C14E40BF}"/>
            </a:ext>
          </a:extLst>
        </xdr:cNvPr>
        <xdr:cNvSpPr/>
      </xdr:nvSpPr>
      <xdr:spPr>
        <a:xfrm>
          <a:off x="19621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38100</xdr:colOff>
      <xdr:row>21</xdr:row>
      <xdr:rowOff>47625</xdr:rowOff>
    </xdr:from>
    <xdr:to>
      <xdr:col>15</xdr:col>
      <xdr:colOff>104775</xdr:colOff>
      <xdr:row>21</xdr:row>
      <xdr:rowOff>142875</xdr:rowOff>
    </xdr:to>
    <xdr:sp macro="" textlink="">
      <xdr:nvSpPr>
        <xdr:cNvPr id="822" name="Diagrama de flujo: conector 821">
          <a:extLst>
            <a:ext uri="{FF2B5EF4-FFF2-40B4-BE49-F238E27FC236}">
              <a16:creationId xmlns:a16="http://schemas.microsoft.com/office/drawing/2014/main" id="{9BFD5D73-5899-47B7-B154-CF206BD51429}"/>
            </a:ext>
          </a:extLst>
        </xdr:cNvPr>
        <xdr:cNvSpPr/>
      </xdr:nvSpPr>
      <xdr:spPr>
        <a:xfrm>
          <a:off x="19621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38100</xdr:colOff>
      <xdr:row>14</xdr:row>
      <xdr:rowOff>57150</xdr:rowOff>
    </xdr:from>
    <xdr:to>
      <xdr:col>4</xdr:col>
      <xdr:colOff>104775</xdr:colOff>
      <xdr:row>14</xdr:row>
      <xdr:rowOff>152400</xdr:rowOff>
    </xdr:to>
    <xdr:sp macro="" textlink="">
      <xdr:nvSpPr>
        <xdr:cNvPr id="823" name="Diagrama de flujo: conector 822">
          <a:extLst>
            <a:ext uri="{FF2B5EF4-FFF2-40B4-BE49-F238E27FC236}">
              <a16:creationId xmlns:a16="http://schemas.microsoft.com/office/drawing/2014/main" id="{346C811E-9BAD-409E-973B-943FD82FB85A}"/>
            </a:ext>
          </a:extLst>
        </xdr:cNvPr>
        <xdr:cNvSpPr/>
      </xdr:nvSpPr>
      <xdr:spPr>
        <a:xfrm>
          <a:off x="20955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38100</xdr:colOff>
      <xdr:row>15</xdr:row>
      <xdr:rowOff>57150</xdr:rowOff>
    </xdr:from>
    <xdr:to>
      <xdr:col>4</xdr:col>
      <xdr:colOff>104775</xdr:colOff>
      <xdr:row>15</xdr:row>
      <xdr:rowOff>152400</xdr:rowOff>
    </xdr:to>
    <xdr:sp macro="" textlink="">
      <xdr:nvSpPr>
        <xdr:cNvPr id="824" name="Diagrama de flujo: conector 823">
          <a:extLst>
            <a:ext uri="{FF2B5EF4-FFF2-40B4-BE49-F238E27FC236}">
              <a16:creationId xmlns:a16="http://schemas.microsoft.com/office/drawing/2014/main" id="{B0FFEB6F-9BBC-4954-8EDA-4D9649168190}"/>
            </a:ext>
          </a:extLst>
        </xdr:cNvPr>
        <xdr:cNvSpPr/>
      </xdr:nvSpPr>
      <xdr:spPr>
        <a:xfrm>
          <a:off x="20955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38100</xdr:colOff>
      <xdr:row>16</xdr:row>
      <xdr:rowOff>57150</xdr:rowOff>
    </xdr:from>
    <xdr:to>
      <xdr:col>4</xdr:col>
      <xdr:colOff>104775</xdr:colOff>
      <xdr:row>16</xdr:row>
      <xdr:rowOff>152400</xdr:rowOff>
    </xdr:to>
    <xdr:sp macro="" textlink="">
      <xdr:nvSpPr>
        <xdr:cNvPr id="825" name="Diagrama de flujo: conector 824">
          <a:extLst>
            <a:ext uri="{FF2B5EF4-FFF2-40B4-BE49-F238E27FC236}">
              <a16:creationId xmlns:a16="http://schemas.microsoft.com/office/drawing/2014/main" id="{644A48AB-B676-461E-A755-FD10B2896BE0}"/>
            </a:ext>
          </a:extLst>
        </xdr:cNvPr>
        <xdr:cNvSpPr/>
      </xdr:nvSpPr>
      <xdr:spPr>
        <a:xfrm>
          <a:off x="20955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38100</xdr:colOff>
      <xdr:row>17</xdr:row>
      <xdr:rowOff>57150</xdr:rowOff>
    </xdr:from>
    <xdr:to>
      <xdr:col>4</xdr:col>
      <xdr:colOff>104775</xdr:colOff>
      <xdr:row>17</xdr:row>
      <xdr:rowOff>152400</xdr:rowOff>
    </xdr:to>
    <xdr:sp macro="" textlink="">
      <xdr:nvSpPr>
        <xdr:cNvPr id="826" name="Diagrama de flujo: conector 825">
          <a:extLst>
            <a:ext uri="{FF2B5EF4-FFF2-40B4-BE49-F238E27FC236}">
              <a16:creationId xmlns:a16="http://schemas.microsoft.com/office/drawing/2014/main" id="{3CD2BDF8-AC6F-46B1-B1D8-5796AB8A665B}"/>
            </a:ext>
          </a:extLst>
        </xdr:cNvPr>
        <xdr:cNvSpPr/>
      </xdr:nvSpPr>
      <xdr:spPr>
        <a:xfrm>
          <a:off x="20955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38100</xdr:colOff>
      <xdr:row>18</xdr:row>
      <xdr:rowOff>47625</xdr:rowOff>
    </xdr:from>
    <xdr:to>
      <xdr:col>4</xdr:col>
      <xdr:colOff>104775</xdr:colOff>
      <xdr:row>18</xdr:row>
      <xdr:rowOff>142875</xdr:rowOff>
    </xdr:to>
    <xdr:sp macro="" textlink="">
      <xdr:nvSpPr>
        <xdr:cNvPr id="828" name="Diagrama de flujo: conector 827">
          <a:extLst>
            <a:ext uri="{FF2B5EF4-FFF2-40B4-BE49-F238E27FC236}">
              <a16:creationId xmlns:a16="http://schemas.microsoft.com/office/drawing/2014/main" id="{22E83396-F9A6-4A36-B468-4EAD82AD1928}"/>
            </a:ext>
          </a:extLst>
        </xdr:cNvPr>
        <xdr:cNvSpPr/>
      </xdr:nvSpPr>
      <xdr:spPr>
        <a:xfrm>
          <a:off x="20955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38100</xdr:colOff>
      <xdr:row>19</xdr:row>
      <xdr:rowOff>57150</xdr:rowOff>
    </xdr:from>
    <xdr:to>
      <xdr:col>4</xdr:col>
      <xdr:colOff>104775</xdr:colOff>
      <xdr:row>19</xdr:row>
      <xdr:rowOff>152400</xdr:rowOff>
    </xdr:to>
    <xdr:sp macro="" textlink="">
      <xdr:nvSpPr>
        <xdr:cNvPr id="829" name="Diagrama de flujo: conector 828">
          <a:extLst>
            <a:ext uri="{FF2B5EF4-FFF2-40B4-BE49-F238E27FC236}">
              <a16:creationId xmlns:a16="http://schemas.microsoft.com/office/drawing/2014/main" id="{0892E617-F2E7-4CCD-A921-A7F63A8F719F}"/>
            </a:ext>
          </a:extLst>
        </xdr:cNvPr>
        <xdr:cNvSpPr/>
      </xdr:nvSpPr>
      <xdr:spPr>
        <a:xfrm>
          <a:off x="20955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38100</xdr:colOff>
      <xdr:row>20</xdr:row>
      <xdr:rowOff>57150</xdr:rowOff>
    </xdr:from>
    <xdr:to>
      <xdr:col>4</xdr:col>
      <xdr:colOff>104775</xdr:colOff>
      <xdr:row>20</xdr:row>
      <xdr:rowOff>152400</xdr:rowOff>
    </xdr:to>
    <xdr:sp macro="" textlink="">
      <xdr:nvSpPr>
        <xdr:cNvPr id="830" name="Diagrama de flujo: conector 829">
          <a:extLst>
            <a:ext uri="{FF2B5EF4-FFF2-40B4-BE49-F238E27FC236}">
              <a16:creationId xmlns:a16="http://schemas.microsoft.com/office/drawing/2014/main" id="{EA369AE9-2174-4694-8E5B-D819B4755FAD}"/>
            </a:ext>
          </a:extLst>
        </xdr:cNvPr>
        <xdr:cNvSpPr/>
      </xdr:nvSpPr>
      <xdr:spPr>
        <a:xfrm>
          <a:off x="20955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38100</xdr:colOff>
      <xdr:row>21</xdr:row>
      <xdr:rowOff>47625</xdr:rowOff>
    </xdr:from>
    <xdr:to>
      <xdr:col>4</xdr:col>
      <xdr:colOff>104775</xdr:colOff>
      <xdr:row>21</xdr:row>
      <xdr:rowOff>142875</xdr:rowOff>
    </xdr:to>
    <xdr:sp macro="" textlink="">
      <xdr:nvSpPr>
        <xdr:cNvPr id="832" name="Diagrama de flujo: conector 831">
          <a:extLst>
            <a:ext uri="{FF2B5EF4-FFF2-40B4-BE49-F238E27FC236}">
              <a16:creationId xmlns:a16="http://schemas.microsoft.com/office/drawing/2014/main" id="{94C327ED-7F30-4213-8E96-51EFCBD75060}"/>
            </a:ext>
          </a:extLst>
        </xdr:cNvPr>
        <xdr:cNvSpPr/>
      </xdr:nvSpPr>
      <xdr:spPr>
        <a:xfrm>
          <a:off x="20955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38100</xdr:colOff>
      <xdr:row>14</xdr:row>
      <xdr:rowOff>57150</xdr:rowOff>
    </xdr:from>
    <xdr:to>
      <xdr:col>5</xdr:col>
      <xdr:colOff>104775</xdr:colOff>
      <xdr:row>14</xdr:row>
      <xdr:rowOff>152400</xdr:rowOff>
    </xdr:to>
    <xdr:sp macro="" textlink="">
      <xdr:nvSpPr>
        <xdr:cNvPr id="833" name="Diagrama de flujo: conector 832">
          <a:extLst>
            <a:ext uri="{FF2B5EF4-FFF2-40B4-BE49-F238E27FC236}">
              <a16:creationId xmlns:a16="http://schemas.microsoft.com/office/drawing/2014/main" id="{62B72F3E-E0AC-4F7C-BBAA-135744AC7D13}"/>
            </a:ext>
          </a:extLst>
        </xdr:cNvPr>
        <xdr:cNvSpPr/>
      </xdr:nvSpPr>
      <xdr:spPr>
        <a:xfrm>
          <a:off x="22288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38100</xdr:colOff>
      <xdr:row>15</xdr:row>
      <xdr:rowOff>57150</xdr:rowOff>
    </xdr:from>
    <xdr:to>
      <xdr:col>5</xdr:col>
      <xdr:colOff>104775</xdr:colOff>
      <xdr:row>15</xdr:row>
      <xdr:rowOff>152400</xdr:rowOff>
    </xdr:to>
    <xdr:sp macro="" textlink="">
      <xdr:nvSpPr>
        <xdr:cNvPr id="834" name="Diagrama de flujo: conector 833">
          <a:extLst>
            <a:ext uri="{FF2B5EF4-FFF2-40B4-BE49-F238E27FC236}">
              <a16:creationId xmlns:a16="http://schemas.microsoft.com/office/drawing/2014/main" id="{015E3CC7-2D08-40D1-93AD-6EA3E91ACAD6}"/>
            </a:ext>
          </a:extLst>
        </xdr:cNvPr>
        <xdr:cNvSpPr/>
      </xdr:nvSpPr>
      <xdr:spPr>
        <a:xfrm>
          <a:off x="22288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38100</xdr:colOff>
      <xdr:row>16</xdr:row>
      <xdr:rowOff>57150</xdr:rowOff>
    </xdr:from>
    <xdr:to>
      <xdr:col>5</xdr:col>
      <xdr:colOff>104775</xdr:colOff>
      <xdr:row>16</xdr:row>
      <xdr:rowOff>152400</xdr:rowOff>
    </xdr:to>
    <xdr:sp macro="" textlink="">
      <xdr:nvSpPr>
        <xdr:cNvPr id="835" name="Diagrama de flujo: conector 834">
          <a:extLst>
            <a:ext uri="{FF2B5EF4-FFF2-40B4-BE49-F238E27FC236}">
              <a16:creationId xmlns:a16="http://schemas.microsoft.com/office/drawing/2014/main" id="{21E469DB-F2DC-4F97-8C1A-9FC0B068BC25}"/>
            </a:ext>
          </a:extLst>
        </xdr:cNvPr>
        <xdr:cNvSpPr/>
      </xdr:nvSpPr>
      <xdr:spPr>
        <a:xfrm>
          <a:off x="22288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38100</xdr:colOff>
      <xdr:row>17</xdr:row>
      <xdr:rowOff>57150</xdr:rowOff>
    </xdr:from>
    <xdr:to>
      <xdr:col>5</xdr:col>
      <xdr:colOff>104775</xdr:colOff>
      <xdr:row>17</xdr:row>
      <xdr:rowOff>152400</xdr:rowOff>
    </xdr:to>
    <xdr:sp macro="" textlink="">
      <xdr:nvSpPr>
        <xdr:cNvPr id="836" name="Diagrama de flujo: conector 835">
          <a:extLst>
            <a:ext uri="{FF2B5EF4-FFF2-40B4-BE49-F238E27FC236}">
              <a16:creationId xmlns:a16="http://schemas.microsoft.com/office/drawing/2014/main" id="{73136375-7A98-4EEA-8BAA-17B26D127B08}"/>
            </a:ext>
          </a:extLst>
        </xdr:cNvPr>
        <xdr:cNvSpPr/>
      </xdr:nvSpPr>
      <xdr:spPr>
        <a:xfrm>
          <a:off x="22288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38100</xdr:colOff>
      <xdr:row>18</xdr:row>
      <xdr:rowOff>47625</xdr:rowOff>
    </xdr:from>
    <xdr:to>
      <xdr:col>5</xdr:col>
      <xdr:colOff>104775</xdr:colOff>
      <xdr:row>18</xdr:row>
      <xdr:rowOff>142875</xdr:rowOff>
    </xdr:to>
    <xdr:sp macro="" textlink="">
      <xdr:nvSpPr>
        <xdr:cNvPr id="838" name="Diagrama de flujo: conector 837">
          <a:extLst>
            <a:ext uri="{FF2B5EF4-FFF2-40B4-BE49-F238E27FC236}">
              <a16:creationId xmlns:a16="http://schemas.microsoft.com/office/drawing/2014/main" id="{3C40422B-8454-422F-9CA5-C0F74CDEA614}"/>
            </a:ext>
          </a:extLst>
        </xdr:cNvPr>
        <xdr:cNvSpPr/>
      </xdr:nvSpPr>
      <xdr:spPr>
        <a:xfrm>
          <a:off x="22288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38100</xdr:colOff>
      <xdr:row>19</xdr:row>
      <xdr:rowOff>57150</xdr:rowOff>
    </xdr:from>
    <xdr:to>
      <xdr:col>5</xdr:col>
      <xdr:colOff>104775</xdr:colOff>
      <xdr:row>19</xdr:row>
      <xdr:rowOff>152400</xdr:rowOff>
    </xdr:to>
    <xdr:sp macro="" textlink="">
      <xdr:nvSpPr>
        <xdr:cNvPr id="839" name="Diagrama de flujo: conector 838">
          <a:extLst>
            <a:ext uri="{FF2B5EF4-FFF2-40B4-BE49-F238E27FC236}">
              <a16:creationId xmlns:a16="http://schemas.microsoft.com/office/drawing/2014/main" id="{43E9568F-03C3-4983-AF39-8BE23FAD30DF}"/>
            </a:ext>
          </a:extLst>
        </xdr:cNvPr>
        <xdr:cNvSpPr/>
      </xdr:nvSpPr>
      <xdr:spPr>
        <a:xfrm>
          <a:off x="22288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38100</xdr:colOff>
      <xdr:row>20</xdr:row>
      <xdr:rowOff>57150</xdr:rowOff>
    </xdr:from>
    <xdr:to>
      <xdr:col>5</xdr:col>
      <xdr:colOff>104775</xdr:colOff>
      <xdr:row>20</xdr:row>
      <xdr:rowOff>152400</xdr:rowOff>
    </xdr:to>
    <xdr:sp macro="" textlink="">
      <xdr:nvSpPr>
        <xdr:cNvPr id="840" name="Diagrama de flujo: conector 839">
          <a:extLst>
            <a:ext uri="{FF2B5EF4-FFF2-40B4-BE49-F238E27FC236}">
              <a16:creationId xmlns:a16="http://schemas.microsoft.com/office/drawing/2014/main" id="{C878E18C-2D9A-4B2A-B6BB-8E8AB85072FF}"/>
            </a:ext>
          </a:extLst>
        </xdr:cNvPr>
        <xdr:cNvSpPr/>
      </xdr:nvSpPr>
      <xdr:spPr>
        <a:xfrm>
          <a:off x="22288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38100</xdr:colOff>
      <xdr:row>21</xdr:row>
      <xdr:rowOff>47625</xdr:rowOff>
    </xdr:from>
    <xdr:to>
      <xdr:col>5</xdr:col>
      <xdr:colOff>104775</xdr:colOff>
      <xdr:row>21</xdr:row>
      <xdr:rowOff>142875</xdr:rowOff>
    </xdr:to>
    <xdr:sp macro="" textlink="">
      <xdr:nvSpPr>
        <xdr:cNvPr id="842" name="Diagrama de flujo: conector 841">
          <a:extLst>
            <a:ext uri="{FF2B5EF4-FFF2-40B4-BE49-F238E27FC236}">
              <a16:creationId xmlns:a16="http://schemas.microsoft.com/office/drawing/2014/main" id="{5873562C-339A-47DF-BB6A-4A19682E430C}"/>
            </a:ext>
          </a:extLst>
        </xdr:cNvPr>
        <xdr:cNvSpPr/>
      </xdr:nvSpPr>
      <xdr:spPr>
        <a:xfrm>
          <a:off x="22288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38100</xdr:colOff>
      <xdr:row>14</xdr:row>
      <xdr:rowOff>57150</xdr:rowOff>
    </xdr:from>
    <xdr:to>
      <xdr:col>6</xdr:col>
      <xdr:colOff>104775</xdr:colOff>
      <xdr:row>14</xdr:row>
      <xdr:rowOff>152400</xdr:rowOff>
    </xdr:to>
    <xdr:sp macro="" textlink="">
      <xdr:nvSpPr>
        <xdr:cNvPr id="843" name="Diagrama de flujo: conector 842">
          <a:extLst>
            <a:ext uri="{FF2B5EF4-FFF2-40B4-BE49-F238E27FC236}">
              <a16:creationId xmlns:a16="http://schemas.microsoft.com/office/drawing/2014/main" id="{7A8886B5-5404-46F4-8A92-138F67D157F9}"/>
            </a:ext>
          </a:extLst>
        </xdr:cNvPr>
        <xdr:cNvSpPr/>
      </xdr:nvSpPr>
      <xdr:spPr>
        <a:xfrm>
          <a:off x="23622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38100</xdr:colOff>
      <xdr:row>15</xdr:row>
      <xdr:rowOff>57150</xdr:rowOff>
    </xdr:from>
    <xdr:to>
      <xdr:col>6</xdr:col>
      <xdr:colOff>104775</xdr:colOff>
      <xdr:row>15</xdr:row>
      <xdr:rowOff>152400</xdr:rowOff>
    </xdr:to>
    <xdr:sp macro="" textlink="">
      <xdr:nvSpPr>
        <xdr:cNvPr id="844" name="Diagrama de flujo: conector 843">
          <a:extLst>
            <a:ext uri="{FF2B5EF4-FFF2-40B4-BE49-F238E27FC236}">
              <a16:creationId xmlns:a16="http://schemas.microsoft.com/office/drawing/2014/main" id="{558224A2-4D27-4877-9B71-B2A4DA3519F0}"/>
            </a:ext>
          </a:extLst>
        </xdr:cNvPr>
        <xdr:cNvSpPr/>
      </xdr:nvSpPr>
      <xdr:spPr>
        <a:xfrm>
          <a:off x="23622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38100</xdr:colOff>
      <xdr:row>16</xdr:row>
      <xdr:rowOff>57150</xdr:rowOff>
    </xdr:from>
    <xdr:to>
      <xdr:col>6</xdr:col>
      <xdr:colOff>104775</xdr:colOff>
      <xdr:row>16</xdr:row>
      <xdr:rowOff>152400</xdr:rowOff>
    </xdr:to>
    <xdr:sp macro="" textlink="">
      <xdr:nvSpPr>
        <xdr:cNvPr id="845" name="Diagrama de flujo: conector 844">
          <a:extLst>
            <a:ext uri="{FF2B5EF4-FFF2-40B4-BE49-F238E27FC236}">
              <a16:creationId xmlns:a16="http://schemas.microsoft.com/office/drawing/2014/main" id="{1193B48A-1218-4DC2-9923-3B47000AACD3}"/>
            </a:ext>
          </a:extLst>
        </xdr:cNvPr>
        <xdr:cNvSpPr/>
      </xdr:nvSpPr>
      <xdr:spPr>
        <a:xfrm>
          <a:off x="23622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38100</xdr:colOff>
      <xdr:row>17</xdr:row>
      <xdr:rowOff>57150</xdr:rowOff>
    </xdr:from>
    <xdr:to>
      <xdr:col>6</xdr:col>
      <xdr:colOff>104775</xdr:colOff>
      <xdr:row>17</xdr:row>
      <xdr:rowOff>152400</xdr:rowOff>
    </xdr:to>
    <xdr:sp macro="" textlink="">
      <xdr:nvSpPr>
        <xdr:cNvPr id="846" name="Diagrama de flujo: conector 845">
          <a:extLst>
            <a:ext uri="{FF2B5EF4-FFF2-40B4-BE49-F238E27FC236}">
              <a16:creationId xmlns:a16="http://schemas.microsoft.com/office/drawing/2014/main" id="{55987430-5D40-44D3-9F50-D165246ADDF1}"/>
            </a:ext>
          </a:extLst>
        </xdr:cNvPr>
        <xdr:cNvSpPr/>
      </xdr:nvSpPr>
      <xdr:spPr>
        <a:xfrm>
          <a:off x="23622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38100</xdr:colOff>
      <xdr:row>18</xdr:row>
      <xdr:rowOff>47625</xdr:rowOff>
    </xdr:from>
    <xdr:to>
      <xdr:col>6</xdr:col>
      <xdr:colOff>104775</xdr:colOff>
      <xdr:row>18</xdr:row>
      <xdr:rowOff>142875</xdr:rowOff>
    </xdr:to>
    <xdr:sp macro="" textlink="">
      <xdr:nvSpPr>
        <xdr:cNvPr id="848" name="Diagrama de flujo: conector 847">
          <a:extLst>
            <a:ext uri="{FF2B5EF4-FFF2-40B4-BE49-F238E27FC236}">
              <a16:creationId xmlns:a16="http://schemas.microsoft.com/office/drawing/2014/main" id="{3A79960D-52F6-42F4-9D34-9644E0A132DC}"/>
            </a:ext>
          </a:extLst>
        </xdr:cNvPr>
        <xdr:cNvSpPr/>
      </xdr:nvSpPr>
      <xdr:spPr>
        <a:xfrm>
          <a:off x="23622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38100</xdr:colOff>
      <xdr:row>19</xdr:row>
      <xdr:rowOff>57150</xdr:rowOff>
    </xdr:from>
    <xdr:to>
      <xdr:col>6</xdr:col>
      <xdr:colOff>104775</xdr:colOff>
      <xdr:row>19</xdr:row>
      <xdr:rowOff>152400</xdr:rowOff>
    </xdr:to>
    <xdr:sp macro="" textlink="">
      <xdr:nvSpPr>
        <xdr:cNvPr id="849" name="Diagrama de flujo: conector 848">
          <a:extLst>
            <a:ext uri="{FF2B5EF4-FFF2-40B4-BE49-F238E27FC236}">
              <a16:creationId xmlns:a16="http://schemas.microsoft.com/office/drawing/2014/main" id="{1B1D66DE-38EF-4B71-9AD6-A2136A339979}"/>
            </a:ext>
          </a:extLst>
        </xdr:cNvPr>
        <xdr:cNvSpPr/>
      </xdr:nvSpPr>
      <xdr:spPr>
        <a:xfrm>
          <a:off x="23622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38100</xdr:colOff>
      <xdr:row>20</xdr:row>
      <xdr:rowOff>57150</xdr:rowOff>
    </xdr:from>
    <xdr:to>
      <xdr:col>6</xdr:col>
      <xdr:colOff>104775</xdr:colOff>
      <xdr:row>20</xdr:row>
      <xdr:rowOff>152400</xdr:rowOff>
    </xdr:to>
    <xdr:sp macro="" textlink="">
      <xdr:nvSpPr>
        <xdr:cNvPr id="850" name="Diagrama de flujo: conector 849">
          <a:extLst>
            <a:ext uri="{FF2B5EF4-FFF2-40B4-BE49-F238E27FC236}">
              <a16:creationId xmlns:a16="http://schemas.microsoft.com/office/drawing/2014/main" id="{EE9C0768-F445-4F87-8E3C-3EE57FF49575}"/>
            </a:ext>
          </a:extLst>
        </xdr:cNvPr>
        <xdr:cNvSpPr/>
      </xdr:nvSpPr>
      <xdr:spPr>
        <a:xfrm>
          <a:off x="23622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38100</xdr:colOff>
      <xdr:row>21</xdr:row>
      <xdr:rowOff>47625</xdr:rowOff>
    </xdr:from>
    <xdr:to>
      <xdr:col>6</xdr:col>
      <xdr:colOff>104775</xdr:colOff>
      <xdr:row>21</xdr:row>
      <xdr:rowOff>142875</xdr:rowOff>
    </xdr:to>
    <xdr:sp macro="" textlink="">
      <xdr:nvSpPr>
        <xdr:cNvPr id="852" name="Diagrama de flujo: conector 851">
          <a:extLst>
            <a:ext uri="{FF2B5EF4-FFF2-40B4-BE49-F238E27FC236}">
              <a16:creationId xmlns:a16="http://schemas.microsoft.com/office/drawing/2014/main" id="{B2EFBB33-C881-41AB-AEE5-A6F27B9DC819}"/>
            </a:ext>
          </a:extLst>
        </xdr:cNvPr>
        <xdr:cNvSpPr/>
      </xdr:nvSpPr>
      <xdr:spPr>
        <a:xfrm>
          <a:off x="23622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38100</xdr:colOff>
      <xdr:row>14</xdr:row>
      <xdr:rowOff>57150</xdr:rowOff>
    </xdr:from>
    <xdr:to>
      <xdr:col>7</xdr:col>
      <xdr:colOff>104775</xdr:colOff>
      <xdr:row>14</xdr:row>
      <xdr:rowOff>152400</xdr:rowOff>
    </xdr:to>
    <xdr:sp macro="" textlink="">
      <xdr:nvSpPr>
        <xdr:cNvPr id="853" name="Diagrama de flujo: conector 852">
          <a:extLst>
            <a:ext uri="{FF2B5EF4-FFF2-40B4-BE49-F238E27FC236}">
              <a16:creationId xmlns:a16="http://schemas.microsoft.com/office/drawing/2014/main" id="{F3A2B3CD-9E12-4DE8-9293-C882577D7C25}"/>
            </a:ext>
          </a:extLst>
        </xdr:cNvPr>
        <xdr:cNvSpPr/>
      </xdr:nvSpPr>
      <xdr:spPr>
        <a:xfrm>
          <a:off x="24955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38100</xdr:colOff>
      <xdr:row>15</xdr:row>
      <xdr:rowOff>57150</xdr:rowOff>
    </xdr:from>
    <xdr:to>
      <xdr:col>7</xdr:col>
      <xdr:colOff>104775</xdr:colOff>
      <xdr:row>15</xdr:row>
      <xdr:rowOff>152400</xdr:rowOff>
    </xdr:to>
    <xdr:sp macro="" textlink="">
      <xdr:nvSpPr>
        <xdr:cNvPr id="854" name="Diagrama de flujo: conector 853">
          <a:extLst>
            <a:ext uri="{FF2B5EF4-FFF2-40B4-BE49-F238E27FC236}">
              <a16:creationId xmlns:a16="http://schemas.microsoft.com/office/drawing/2014/main" id="{608D7089-6B51-4C98-BBF9-9A61FBD06BA5}"/>
            </a:ext>
          </a:extLst>
        </xdr:cNvPr>
        <xdr:cNvSpPr/>
      </xdr:nvSpPr>
      <xdr:spPr>
        <a:xfrm>
          <a:off x="24955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38100</xdr:colOff>
      <xdr:row>16</xdr:row>
      <xdr:rowOff>57150</xdr:rowOff>
    </xdr:from>
    <xdr:to>
      <xdr:col>7</xdr:col>
      <xdr:colOff>104775</xdr:colOff>
      <xdr:row>16</xdr:row>
      <xdr:rowOff>152400</xdr:rowOff>
    </xdr:to>
    <xdr:sp macro="" textlink="">
      <xdr:nvSpPr>
        <xdr:cNvPr id="855" name="Diagrama de flujo: conector 854">
          <a:extLst>
            <a:ext uri="{FF2B5EF4-FFF2-40B4-BE49-F238E27FC236}">
              <a16:creationId xmlns:a16="http://schemas.microsoft.com/office/drawing/2014/main" id="{5EAA62DD-AF10-43D0-8F4F-6A6D38D5DE72}"/>
            </a:ext>
          </a:extLst>
        </xdr:cNvPr>
        <xdr:cNvSpPr/>
      </xdr:nvSpPr>
      <xdr:spPr>
        <a:xfrm>
          <a:off x="24955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38100</xdr:colOff>
      <xdr:row>17</xdr:row>
      <xdr:rowOff>57150</xdr:rowOff>
    </xdr:from>
    <xdr:to>
      <xdr:col>7</xdr:col>
      <xdr:colOff>104775</xdr:colOff>
      <xdr:row>17</xdr:row>
      <xdr:rowOff>152400</xdr:rowOff>
    </xdr:to>
    <xdr:sp macro="" textlink="">
      <xdr:nvSpPr>
        <xdr:cNvPr id="856" name="Diagrama de flujo: conector 855">
          <a:extLst>
            <a:ext uri="{FF2B5EF4-FFF2-40B4-BE49-F238E27FC236}">
              <a16:creationId xmlns:a16="http://schemas.microsoft.com/office/drawing/2014/main" id="{E90838EC-34A7-42E1-B652-0BC0BDFF575A}"/>
            </a:ext>
          </a:extLst>
        </xdr:cNvPr>
        <xdr:cNvSpPr/>
      </xdr:nvSpPr>
      <xdr:spPr>
        <a:xfrm>
          <a:off x="24955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38100</xdr:colOff>
      <xdr:row>18</xdr:row>
      <xdr:rowOff>47625</xdr:rowOff>
    </xdr:from>
    <xdr:to>
      <xdr:col>7</xdr:col>
      <xdr:colOff>104775</xdr:colOff>
      <xdr:row>18</xdr:row>
      <xdr:rowOff>142875</xdr:rowOff>
    </xdr:to>
    <xdr:sp macro="" textlink="">
      <xdr:nvSpPr>
        <xdr:cNvPr id="858" name="Diagrama de flujo: conector 857">
          <a:extLst>
            <a:ext uri="{FF2B5EF4-FFF2-40B4-BE49-F238E27FC236}">
              <a16:creationId xmlns:a16="http://schemas.microsoft.com/office/drawing/2014/main" id="{29EC144F-0FA1-4EC0-B03D-CCCA6A468248}"/>
            </a:ext>
          </a:extLst>
        </xdr:cNvPr>
        <xdr:cNvSpPr/>
      </xdr:nvSpPr>
      <xdr:spPr>
        <a:xfrm>
          <a:off x="24955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38100</xdr:colOff>
      <xdr:row>19</xdr:row>
      <xdr:rowOff>57150</xdr:rowOff>
    </xdr:from>
    <xdr:to>
      <xdr:col>7</xdr:col>
      <xdr:colOff>104775</xdr:colOff>
      <xdr:row>19</xdr:row>
      <xdr:rowOff>152400</xdr:rowOff>
    </xdr:to>
    <xdr:sp macro="" textlink="">
      <xdr:nvSpPr>
        <xdr:cNvPr id="859" name="Diagrama de flujo: conector 858">
          <a:extLst>
            <a:ext uri="{FF2B5EF4-FFF2-40B4-BE49-F238E27FC236}">
              <a16:creationId xmlns:a16="http://schemas.microsoft.com/office/drawing/2014/main" id="{10FACA68-EEA0-4026-8871-74FE4CBE4769}"/>
            </a:ext>
          </a:extLst>
        </xdr:cNvPr>
        <xdr:cNvSpPr/>
      </xdr:nvSpPr>
      <xdr:spPr>
        <a:xfrm>
          <a:off x="24955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38100</xdr:colOff>
      <xdr:row>20</xdr:row>
      <xdr:rowOff>57150</xdr:rowOff>
    </xdr:from>
    <xdr:to>
      <xdr:col>7</xdr:col>
      <xdr:colOff>104775</xdr:colOff>
      <xdr:row>20</xdr:row>
      <xdr:rowOff>152400</xdr:rowOff>
    </xdr:to>
    <xdr:sp macro="" textlink="">
      <xdr:nvSpPr>
        <xdr:cNvPr id="860" name="Diagrama de flujo: conector 859">
          <a:extLst>
            <a:ext uri="{FF2B5EF4-FFF2-40B4-BE49-F238E27FC236}">
              <a16:creationId xmlns:a16="http://schemas.microsoft.com/office/drawing/2014/main" id="{11D56F9E-7C35-42DC-A24F-004B1EF61358}"/>
            </a:ext>
          </a:extLst>
        </xdr:cNvPr>
        <xdr:cNvSpPr/>
      </xdr:nvSpPr>
      <xdr:spPr>
        <a:xfrm>
          <a:off x="24955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38100</xdr:colOff>
      <xdr:row>21</xdr:row>
      <xdr:rowOff>47625</xdr:rowOff>
    </xdr:from>
    <xdr:to>
      <xdr:col>7</xdr:col>
      <xdr:colOff>104775</xdr:colOff>
      <xdr:row>21</xdr:row>
      <xdr:rowOff>142875</xdr:rowOff>
    </xdr:to>
    <xdr:sp macro="" textlink="">
      <xdr:nvSpPr>
        <xdr:cNvPr id="862" name="Diagrama de flujo: conector 861">
          <a:extLst>
            <a:ext uri="{FF2B5EF4-FFF2-40B4-BE49-F238E27FC236}">
              <a16:creationId xmlns:a16="http://schemas.microsoft.com/office/drawing/2014/main" id="{D8278368-EF10-4887-8247-11E03630D895}"/>
            </a:ext>
          </a:extLst>
        </xdr:cNvPr>
        <xdr:cNvSpPr/>
      </xdr:nvSpPr>
      <xdr:spPr>
        <a:xfrm>
          <a:off x="24955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38100</xdr:colOff>
      <xdr:row>14</xdr:row>
      <xdr:rowOff>57150</xdr:rowOff>
    </xdr:from>
    <xdr:to>
      <xdr:col>8</xdr:col>
      <xdr:colOff>104775</xdr:colOff>
      <xdr:row>14</xdr:row>
      <xdr:rowOff>152400</xdr:rowOff>
    </xdr:to>
    <xdr:sp macro="" textlink="">
      <xdr:nvSpPr>
        <xdr:cNvPr id="863" name="Diagrama de flujo: conector 862">
          <a:extLst>
            <a:ext uri="{FF2B5EF4-FFF2-40B4-BE49-F238E27FC236}">
              <a16:creationId xmlns:a16="http://schemas.microsoft.com/office/drawing/2014/main" id="{E8569DFE-EAA5-4D73-9464-76CABF70C3EC}"/>
            </a:ext>
          </a:extLst>
        </xdr:cNvPr>
        <xdr:cNvSpPr/>
      </xdr:nvSpPr>
      <xdr:spPr>
        <a:xfrm>
          <a:off x="26289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38100</xdr:colOff>
      <xdr:row>15</xdr:row>
      <xdr:rowOff>57150</xdr:rowOff>
    </xdr:from>
    <xdr:to>
      <xdr:col>8</xdr:col>
      <xdr:colOff>104775</xdr:colOff>
      <xdr:row>15</xdr:row>
      <xdr:rowOff>152400</xdr:rowOff>
    </xdr:to>
    <xdr:sp macro="" textlink="">
      <xdr:nvSpPr>
        <xdr:cNvPr id="864" name="Diagrama de flujo: conector 863">
          <a:extLst>
            <a:ext uri="{FF2B5EF4-FFF2-40B4-BE49-F238E27FC236}">
              <a16:creationId xmlns:a16="http://schemas.microsoft.com/office/drawing/2014/main" id="{A42D3C4B-D22A-47E7-8058-1B123C7E1E5E}"/>
            </a:ext>
          </a:extLst>
        </xdr:cNvPr>
        <xdr:cNvSpPr/>
      </xdr:nvSpPr>
      <xdr:spPr>
        <a:xfrm>
          <a:off x="26289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38100</xdr:colOff>
      <xdr:row>16</xdr:row>
      <xdr:rowOff>57150</xdr:rowOff>
    </xdr:from>
    <xdr:to>
      <xdr:col>8</xdr:col>
      <xdr:colOff>104775</xdr:colOff>
      <xdr:row>16</xdr:row>
      <xdr:rowOff>152400</xdr:rowOff>
    </xdr:to>
    <xdr:sp macro="" textlink="">
      <xdr:nvSpPr>
        <xdr:cNvPr id="865" name="Diagrama de flujo: conector 864">
          <a:extLst>
            <a:ext uri="{FF2B5EF4-FFF2-40B4-BE49-F238E27FC236}">
              <a16:creationId xmlns:a16="http://schemas.microsoft.com/office/drawing/2014/main" id="{ED381B35-63CB-40CB-A780-E18F13DDE756}"/>
            </a:ext>
          </a:extLst>
        </xdr:cNvPr>
        <xdr:cNvSpPr/>
      </xdr:nvSpPr>
      <xdr:spPr>
        <a:xfrm>
          <a:off x="26289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38100</xdr:colOff>
      <xdr:row>17</xdr:row>
      <xdr:rowOff>57150</xdr:rowOff>
    </xdr:from>
    <xdr:to>
      <xdr:col>8</xdr:col>
      <xdr:colOff>104775</xdr:colOff>
      <xdr:row>17</xdr:row>
      <xdr:rowOff>152400</xdr:rowOff>
    </xdr:to>
    <xdr:sp macro="" textlink="">
      <xdr:nvSpPr>
        <xdr:cNvPr id="866" name="Diagrama de flujo: conector 865">
          <a:extLst>
            <a:ext uri="{FF2B5EF4-FFF2-40B4-BE49-F238E27FC236}">
              <a16:creationId xmlns:a16="http://schemas.microsoft.com/office/drawing/2014/main" id="{942D1975-B8AE-45CE-9694-5D12FA9DE218}"/>
            </a:ext>
          </a:extLst>
        </xdr:cNvPr>
        <xdr:cNvSpPr/>
      </xdr:nvSpPr>
      <xdr:spPr>
        <a:xfrm>
          <a:off x="26289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38100</xdr:colOff>
      <xdr:row>18</xdr:row>
      <xdr:rowOff>47625</xdr:rowOff>
    </xdr:from>
    <xdr:to>
      <xdr:col>8</xdr:col>
      <xdr:colOff>104775</xdr:colOff>
      <xdr:row>18</xdr:row>
      <xdr:rowOff>142875</xdr:rowOff>
    </xdr:to>
    <xdr:sp macro="" textlink="">
      <xdr:nvSpPr>
        <xdr:cNvPr id="868" name="Diagrama de flujo: conector 867">
          <a:extLst>
            <a:ext uri="{FF2B5EF4-FFF2-40B4-BE49-F238E27FC236}">
              <a16:creationId xmlns:a16="http://schemas.microsoft.com/office/drawing/2014/main" id="{639FE930-417B-4F58-A4B0-1163A47625C4}"/>
            </a:ext>
          </a:extLst>
        </xdr:cNvPr>
        <xdr:cNvSpPr/>
      </xdr:nvSpPr>
      <xdr:spPr>
        <a:xfrm>
          <a:off x="26289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38100</xdr:colOff>
      <xdr:row>19</xdr:row>
      <xdr:rowOff>57150</xdr:rowOff>
    </xdr:from>
    <xdr:to>
      <xdr:col>8</xdr:col>
      <xdr:colOff>104775</xdr:colOff>
      <xdr:row>19</xdr:row>
      <xdr:rowOff>152400</xdr:rowOff>
    </xdr:to>
    <xdr:sp macro="" textlink="">
      <xdr:nvSpPr>
        <xdr:cNvPr id="869" name="Diagrama de flujo: conector 868">
          <a:extLst>
            <a:ext uri="{FF2B5EF4-FFF2-40B4-BE49-F238E27FC236}">
              <a16:creationId xmlns:a16="http://schemas.microsoft.com/office/drawing/2014/main" id="{7A615A9E-A470-4816-94B2-39E573949872}"/>
            </a:ext>
          </a:extLst>
        </xdr:cNvPr>
        <xdr:cNvSpPr/>
      </xdr:nvSpPr>
      <xdr:spPr>
        <a:xfrm>
          <a:off x="26289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38100</xdr:colOff>
      <xdr:row>20</xdr:row>
      <xdr:rowOff>57150</xdr:rowOff>
    </xdr:from>
    <xdr:to>
      <xdr:col>8</xdr:col>
      <xdr:colOff>104775</xdr:colOff>
      <xdr:row>20</xdr:row>
      <xdr:rowOff>152400</xdr:rowOff>
    </xdr:to>
    <xdr:sp macro="" textlink="">
      <xdr:nvSpPr>
        <xdr:cNvPr id="870" name="Diagrama de flujo: conector 869">
          <a:extLst>
            <a:ext uri="{FF2B5EF4-FFF2-40B4-BE49-F238E27FC236}">
              <a16:creationId xmlns:a16="http://schemas.microsoft.com/office/drawing/2014/main" id="{F97DC5CA-2D6A-4794-9029-5E83C3E952BD}"/>
            </a:ext>
          </a:extLst>
        </xdr:cNvPr>
        <xdr:cNvSpPr/>
      </xdr:nvSpPr>
      <xdr:spPr>
        <a:xfrm>
          <a:off x="26289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38100</xdr:colOff>
      <xdr:row>21</xdr:row>
      <xdr:rowOff>47625</xdr:rowOff>
    </xdr:from>
    <xdr:to>
      <xdr:col>8</xdr:col>
      <xdr:colOff>104775</xdr:colOff>
      <xdr:row>21</xdr:row>
      <xdr:rowOff>142875</xdr:rowOff>
    </xdr:to>
    <xdr:sp macro="" textlink="">
      <xdr:nvSpPr>
        <xdr:cNvPr id="872" name="Diagrama de flujo: conector 871">
          <a:extLst>
            <a:ext uri="{FF2B5EF4-FFF2-40B4-BE49-F238E27FC236}">
              <a16:creationId xmlns:a16="http://schemas.microsoft.com/office/drawing/2014/main" id="{4EA6FE6F-221C-431C-B248-1B7B59DA556B}"/>
            </a:ext>
          </a:extLst>
        </xdr:cNvPr>
        <xdr:cNvSpPr/>
      </xdr:nvSpPr>
      <xdr:spPr>
        <a:xfrm>
          <a:off x="26289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38100</xdr:colOff>
      <xdr:row>14</xdr:row>
      <xdr:rowOff>57150</xdr:rowOff>
    </xdr:from>
    <xdr:to>
      <xdr:col>9</xdr:col>
      <xdr:colOff>104775</xdr:colOff>
      <xdr:row>14</xdr:row>
      <xdr:rowOff>152400</xdr:rowOff>
    </xdr:to>
    <xdr:sp macro="" textlink="">
      <xdr:nvSpPr>
        <xdr:cNvPr id="873" name="Diagrama de flujo: conector 872">
          <a:extLst>
            <a:ext uri="{FF2B5EF4-FFF2-40B4-BE49-F238E27FC236}">
              <a16:creationId xmlns:a16="http://schemas.microsoft.com/office/drawing/2014/main" id="{DDA069E1-79AA-475B-B406-3C6717CF86F0}"/>
            </a:ext>
          </a:extLst>
        </xdr:cNvPr>
        <xdr:cNvSpPr/>
      </xdr:nvSpPr>
      <xdr:spPr>
        <a:xfrm>
          <a:off x="27622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38100</xdr:colOff>
      <xdr:row>15</xdr:row>
      <xdr:rowOff>57150</xdr:rowOff>
    </xdr:from>
    <xdr:to>
      <xdr:col>9</xdr:col>
      <xdr:colOff>104775</xdr:colOff>
      <xdr:row>15</xdr:row>
      <xdr:rowOff>152400</xdr:rowOff>
    </xdr:to>
    <xdr:sp macro="" textlink="">
      <xdr:nvSpPr>
        <xdr:cNvPr id="874" name="Diagrama de flujo: conector 873">
          <a:extLst>
            <a:ext uri="{FF2B5EF4-FFF2-40B4-BE49-F238E27FC236}">
              <a16:creationId xmlns:a16="http://schemas.microsoft.com/office/drawing/2014/main" id="{44CE31FE-29C7-492E-B68F-9CE0EE0FCA7E}"/>
            </a:ext>
          </a:extLst>
        </xdr:cNvPr>
        <xdr:cNvSpPr/>
      </xdr:nvSpPr>
      <xdr:spPr>
        <a:xfrm>
          <a:off x="27622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38100</xdr:colOff>
      <xdr:row>16</xdr:row>
      <xdr:rowOff>57150</xdr:rowOff>
    </xdr:from>
    <xdr:to>
      <xdr:col>9</xdr:col>
      <xdr:colOff>104775</xdr:colOff>
      <xdr:row>16</xdr:row>
      <xdr:rowOff>152400</xdr:rowOff>
    </xdr:to>
    <xdr:sp macro="" textlink="">
      <xdr:nvSpPr>
        <xdr:cNvPr id="875" name="Diagrama de flujo: conector 874">
          <a:extLst>
            <a:ext uri="{FF2B5EF4-FFF2-40B4-BE49-F238E27FC236}">
              <a16:creationId xmlns:a16="http://schemas.microsoft.com/office/drawing/2014/main" id="{A835954D-B4DA-4B75-AEE5-DB5322C60A32}"/>
            </a:ext>
          </a:extLst>
        </xdr:cNvPr>
        <xdr:cNvSpPr/>
      </xdr:nvSpPr>
      <xdr:spPr>
        <a:xfrm>
          <a:off x="27622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38100</xdr:colOff>
      <xdr:row>17</xdr:row>
      <xdr:rowOff>57150</xdr:rowOff>
    </xdr:from>
    <xdr:to>
      <xdr:col>9</xdr:col>
      <xdr:colOff>104775</xdr:colOff>
      <xdr:row>17</xdr:row>
      <xdr:rowOff>152400</xdr:rowOff>
    </xdr:to>
    <xdr:sp macro="" textlink="">
      <xdr:nvSpPr>
        <xdr:cNvPr id="876" name="Diagrama de flujo: conector 875">
          <a:extLst>
            <a:ext uri="{FF2B5EF4-FFF2-40B4-BE49-F238E27FC236}">
              <a16:creationId xmlns:a16="http://schemas.microsoft.com/office/drawing/2014/main" id="{28E2A267-886E-4E5F-831A-FA17ABE15C1F}"/>
            </a:ext>
          </a:extLst>
        </xdr:cNvPr>
        <xdr:cNvSpPr/>
      </xdr:nvSpPr>
      <xdr:spPr>
        <a:xfrm>
          <a:off x="27622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38100</xdr:colOff>
      <xdr:row>18</xdr:row>
      <xdr:rowOff>47625</xdr:rowOff>
    </xdr:from>
    <xdr:to>
      <xdr:col>9</xdr:col>
      <xdr:colOff>104775</xdr:colOff>
      <xdr:row>18</xdr:row>
      <xdr:rowOff>142875</xdr:rowOff>
    </xdr:to>
    <xdr:sp macro="" textlink="">
      <xdr:nvSpPr>
        <xdr:cNvPr id="878" name="Diagrama de flujo: conector 877">
          <a:extLst>
            <a:ext uri="{FF2B5EF4-FFF2-40B4-BE49-F238E27FC236}">
              <a16:creationId xmlns:a16="http://schemas.microsoft.com/office/drawing/2014/main" id="{B3C7FEFB-BD79-452C-80E8-6783C1353811}"/>
            </a:ext>
          </a:extLst>
        </xdr:cNvPr>
        <xdr:cNvSpPr/>
      </xdr:nvSpPr>
      <xdr:spPr>
        <a:xfrm>
          <a:off x="27622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38100</xdr:colOff>
      <xdr:row>19</xdr:row>
      <xdr:rowOff>57150</xdr:rowOff>
    </xdr:from>
    <xdr:to>
      <xdr:col>9</xdr:col>
      <xdr:colOff>104775</xdr:colOff>
      <xdr:row>19</xdr:row>
      <xdr:rowOff>152400</xdr:rowOff>
    </xdr:to>
    <xdr:sp macro="" textlink="">
      <xdr:nvSpPr>
        <xdr:cNvPr id="879" name="Diagrama de flujo: conector 878">
          <a:extLst>
            <a:ext uri="{FF2B5EF4-FFF2-40B4-BE49-F238E27FC236}">
              <a16:creationId xmlns:a16="http://schemas.microsoft.com/office/drawing/2014/main" id="{A2CAE2BA-D130-4F6F-B8A1-99A23CC1FA42}"/>
            </a:ext>
          </a:extLst>
        </xdr:cNvPr>
        <xdr:cNvSpPr/>
      </xdr:nvSpPr>
      <xdr:spPr>
        <a:xfrm>
          <a:off x="27622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38100</xdr:colOff>
      <xdr:row>20</xdr:row>
      <xdr:rowOff>57150</xdr:rowOff>
    </xdr:from>
    <xdr:to>
      <xdr:col>9</xdr:col>
      <xdr:colOff>104775</xdr:colOff>
      <xdr:row>20</xdr:row>
      <xdr:rowOff>152400</xdr:rowOff>
    </xdr:to>
    <xdr:sp macro="" textlink="">
      <xdr:nvSpPr>
        <xdr:cNvPr id="880" name="Diagrama de flujo: conector 879">
          <a:extLst>
            <a:ext uri="{FF2B5EF4-FFF2-40B4-BE49-F238E27FC236}">
              <a16:creationId xmlns:a16="http://schemas.microsoft.com/office/drawing/2014/main" id="{7A563C60-FD10-4D6E-992A-C324FBE266A4}"/>
            </a:ext>
          </a:extLst>
        </xdr:cNvPr>
        <xdr:cNvSpPr/>
      </xdr:nvSpPr>
      <xdr:spPr>
        <a:xfrm>
          <a:off x="27622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38100</xdr:colOff>
      <xdr:row>21</xdr:row>
      <xdr:rowOff>47625</xdr:rowOff>
    </xdr:from>
    <xdr:to>
      <xdr:col>9</xdr:col>
      <xdr:colOff>104775</xdr:colOff>
      <xdr:row>21</xdr:row>
      <xdr:rowOff>142875</xdr:rowOff>
    </xdr:to>
    <xdr:sp macro="" textlink="">
      <xdr:nvSpPr>
        <xdr:cNvPr id="882" name="Diagrama de flujo: conector 881">
          <a:extLst>
            <a:ext uri="{FF2B5EF4-FFF2-40B4-BE49-F238E27FC236}">
              <a16:creationId xmlns:a16="http://schemas.microsoft.com/office/drawing/2014/main" id="{9B45AE19-D0E0-4B0F-BE82-20DB57FCB98C}"/>
            </a:ext>
          </a:extLst>
        </xdr:cNvPr>
        <xdr:cNvSpPr/>
      </xdr:nvSpPr>
      <xdr:spPr>
        <a:xfrm>
          <a:off x="27622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38100</xdr:colOff>
      <xdr:row>14</xdr:row>
      <xdr:rowOff>57150</xdr:rowOff>
    </xdr:from>
    <xdr:to>
      <xdr:col>10</xdr:col>
      <xdr:colOff>104775</xdr:colOff>
      <xdr:row>14</xdr:row>
      <xdr:rowOff>152400</xdr:rowOff>
    </xdr:to>
    <xdr:sp macro="" textlink="">
      <xdr:nvSpPr>
        <xdr:cNvPr id="883" name="Diagrama de flujo: conector 882">
          <a:extLst>
            <a:ext uri="{FF2B5EF4-FFF2-40B4-BE49-F238E27FC236}">
              <a16:creationId xmlns:a16="http://schemas.microsoft.com/office/drawing/2014/main" id="{33AEC228-97B3-4584-85EB-1D435D8F7F90}"/>
            </a:ext>
          </a:extLst>
        </xdr:cNvPr>
        <xdr:cNvSpPr/>
      </xdr:nvSpPr>
      <xdr:spPr>
        <a:xfrm>
          <a:off x="289560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38100</xdr:colOff>
      <xdr:row>15</xdr:row>
      <xdr:rowOff>57150</xdr:rowOff>
    </xdr:from>
    <xdr:to>
      <xdr:col>10</xdr:col>
      <xdr:colOff>104775</xdr:colOff>
      <xdr:row>15</xdr:row>
      <xdr:rowOff>152400</xdr:rowOff>
    </xdr:to>
    <xdr:sp macro="" textlink="">
      <xdr:nvSpPr>
        <xdr:cNvPr id="884" name="Diagrama de flujo: conector 883">
          <a:extLst>
            <a:ext uri="{FF2B5EF4-FFF2-40B4-BE49-F238E27FC236}">
              <a16:creationId xmlns:a16="http://schemas.microsoft.com/office/drawing/2014/main" id="{F173914E-072F-403E-8855-8425EDEAC1E5}"/>
            </a:ext>
          </a:extLst>
        </xdr:cNvPr>
        <xdr:cNvSpPr/>
      </xdr:nvSpPr>
      <xdr:spPr>
        <a:xfrm>
          <a:off x="289560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38100</xdr:colOff>
      <xdr:row>16</xdr:row>
      <xdr:rowOff>57150</xdr:rowOff>
    </xdr:from>
    <xdr:to>
      <xdr:col>10</xdr:col>
      <xdr:colOff>104775</xdr:colOff>
      <xdr:row>16</xdr:row>
      <xdr:rowOff>152400</xdr:rowOff>
    </xdr:to>
    <xdr:sp macro="" textlink="">
      <xdr:nvSpPr>
        <xdr:cNvPr id="885" name="Diagrama de flujo: conector 884">
          <a:extLst>
            <a:ext uri="{FF2B5EF4-FFF2-40B4-BE49-F238E27FC236}">
              <a16:creationId xmlns:a16="http://schemas.microsoft.com/office/drawing/2014/main" id="{A07CB269-C05B-4526-BEC6-F492986588E7}"/>
            </a:ext>
          </a:extLst>
        </xdr:cNvPr>
        <xdr:cNvSpPr/>
      </xdr:nvSpPr>
      <xdr:spPr>
        <a:xfrm>
          <a:off x="289560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38100</xdr:colOff>
      <xdr:row>17</xdr:row>
      <xdr:rowOff>57150</xdr:rowOff>
    </xdr:from>
    <xdr:to>
      <xdr:col>10</xdr:col>
      <xdr:colOff>104775</xdr:colOff>
      <xdr:row>17</xdr:row>
      <xdr:rowOff>152400</xdr:rowOff>
    </xdr:to>
    <xdr:sp macro="" textlink="">
      <xdr:nvSpPr>
        <xdr:cNvPr id="886" name="Diagrama de flujo: conector 885">
          <a:extLst>
            <a:ext uri="{FF2B5EF4-FFF2-40B4-BE49-F238E27FC236}">
              <a16:creationId xmlns:a16="http://schemas.microsoft.com/office/drawing/2014/main" id="{30D13AE3-8DB7-4777-A1AD-744949B2AD6A}"/>
            </a:ext>
          </a:extLst>
        </xdr:cNvPr>
        <xdr:cNvSpPr/>
      </xdr:nvSpPr>
      <xdr:spPr>
        <a:xfrm>
          <a:off x="289560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38100</xdr:colOff>
      <xdr:row>18</xdr:row>
      <xdr:rowOff>47625</xdr:rowOff>
    </xdr:from>
    <xdr:to>
      <xdr:col>10</xdr:col>
      <xdr:colOff>104775</xdr:colOff>
      <xdr:row>18</xdr:row>
      <xdr:rowOff>142875</xdr:rowOff>
    </xdr:to>
    <xdr:sp macro="" textlink="">
      <xdr:nvSpPr>
        <xdr:cNvPr id="888" name="Diagrama de flujo: conector 887">
          <a:extLst>
            <a:ext uri="{FF2B5EF4-FFF2-40B4-BE49-F238E27FC236}">
              <a16:creationId xmlns:a16="http://schemas.microsoft.com/office/drawing/2014/main" id="{DB3D538B-50C4-4D10-9CDC-1DE684FB7DF0}"/>
            </a:ext>
          </a:extLst>
        </xdr:cNvPr>
        <xdr:cNvSpPr/>
      </xdr:nvSpPr>
      <xdr:spPr>
        <a:xfrm>
          <a:off x="289560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38100</xdr:colOff>
      <xdr:row>19</xdr:row>
      <xdr:rowOff>57150</xdr:rowOff>
    </xdr:from>
    <xdr:to>
      <xdr:col>10</xdr:col>
      <xdr:colOff>104775</xdr:colOff>
      <xdr:row>19</xdr:row>
      <xdr:rowOff>152400</xdr:rowOff>
    </xdr:to>
    <xdr:sp macro="" textlink="">
      <xdr:nvSpPr>
        <xdr:cNvPr id="889" name="Diagrama de flujo: conector 888">
          <a:extLst>
            <a:ext uri="{FF2B5EF4-FFF2-40B4-BE49-F238E27FC236}">
              <a16:creationId xmlns:a16="http://schemas.microsoft.com/office/drawing/2014/main" id="{F8434B4E-09B5-4A46-85EB-178410B94A6F}"/>
            </a:ext>
          </a:extLst>
        </xdr:cNvPr>
        <xdr:cNvSpPr/>
      </xdr:nvSpPr>
      <xdr:spPr>
        <a:xfrm>
          <a:off x="289560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38100</xdr:colOff>
      <xdr:row>20</xdr:row>
      <xdr:rowOff>57150</xdr:rowOff>
    </xdr:from>
    <xdr:to>
      <xdr:col>10</xdr:col>
      <xdr:colOff>104775</xdr:colOff>
      <xdr:row>20</xdr:row>
      <xdr:rowOff>152400</xdr:rowOff>
    </xdr:to>
    <xdr:sp macro="" textlink="">
      <xdr:nvSpPr>
        <xdr:cNvPr id="890" name="Diagrama de flujo: conector 889">
          <a:extLst>
            <a:ext uri="{FF2B5EF4-FFF2-40B4-BE49-F238E27FC236}">
              <a16:creationId xmlns:a16="http://schemas.microsoft.com/office/drawing/2014/main" id="{AAB0C175-2415-4E62-A534-021CC53D8387}"/>
            </a:ext>
          </a:extLst>
        </xdr:cNvPr>
        <xdr:cNvSpPr/>
      </xdr:nvSpPr>
      <xdr:spPr>
        <a:xfrm>
          <a:off x="289560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38100</xdr:colOff>
      <xdr:row>21</xdr:row>
      <xdr:rowOff>47625</xdr:rowOff>
    </xdr:from>
    <xdr:to>
      <xdr:col>10</xdr:col>
      <xdr:colOff>104775</xdr:colOff>
      <xdr:row>21</xdr:row>
      <xdr:rowOff>142875</xdr:rowOff>
    </xdr:to>
    <xdr:sp macro="" textlink="">
      <xdr:nvSpPr>
        <xdr:cNvPr id="892" name="Diagrama de flujo: conector 891">
          <a:extLst>
            <a:ext uri="{FF2B5EF4-FFF2-40B4-BE49-F238E27FC236}">
              <a16:creationId xmlns:a16="http://schemas.microsoft.com/office/drawing/2014/main" id="{4FD88224-7099-4A2C-948A-B4A0F1000386}"/>
            </a:ext>
          </a:extLst>
        </xdr:cNvPr>
        <xdr:cNvSpPr/>
      </xdr:nvSpPr>
      <xdr:spPr>
        <a:xfrm>
          <a:off x="289560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38100</xdr:colOff>
      <xdr:row>14</xdr:row>
      <xdr:rowOff>57150</xdr:rowOff>
    </xdr:from>
    <xdr:to>
      <xdr:col>3</xdr:col>
      <xdr:colOff>104775</xdr:colOff>
      <xdr:row>14</xdr:row>
      <xdr:rowOff>152400</xdr:rowOff>
    </xdr:to>
    <xdr:sp macro="" textlink="">
      <xdr:nvSpPr>
        <xdr:cNvPr id="893" name="Diagrama de flujo: conector 892">
          <a:extLst>
            <a:ext uri="{FF2B5EF4-FFF2-40B4-BE49-F238E27FC236}">
              <a16:creationId xmlns:a16="http://schemas.microsoft.com/office/drawing/2014/main" id="{C09223D4-DF49-4AD5-9583-FCB5FDAA1386}"/>
            </a:ext>
          </a:extLst>
        </xdr:cNvPr>
        <xdr:cNvSpPr/>
      </xdr:nvSpPr>
      <xdr:spPr>
        <a:xfrm>
          <a:off x="1962150" y="447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38100</xdr:colOff>
      <xdr:row>15</xdr:row>
      <xdr:rowOff>57150</xdr:rowOff>
    </xdr:from>
    <xdr:to>
      <xdr:col>3</xdr:col>
      <xdr:colOff>104775</xdr:colOff>
      <xdr:row>15</xdr:row>
      <xdr:rowOff>152400</xdr:rowOff>
    </xdr:to>
    <xdr:sp macro="" textlink="">
      <xdr:nvSpPr>
        <xdr:cNvPr id="894" name="Diagrama de flujo: conector 893">
          <a:extLst>
            <a:ext uri="{FF2B5EF4-FFF2-40B4-BE49-F238E27FC236}">
              <a16:creationId xmlns:a16="http://schemas.microsoft.com/office/drawing/2014/main" id="{410877B9-B7C5-4AB8-9A18-DD2D58BBF39C}"/>
            </a:ext>
          </a:extLst>
        </xdr:cNvPr>
        <xdr:cNvSpPr/>
      </xdr:nvSpPr>
      <xdr:spPr>
        <a:xfrm>
          <a:off x="1962150" y="638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38100</xdr:colOff>
      <xdr:row>16</xdr:row>
      <xdr:rowOff>57150</xdr:rowOff>
    </xdr:from>
    <xdr:to>
      <xdr:col>3</xdr:col>
      <xdr:colOff>104775</xdr:colOff>
      <xdr:row>16</xdr:row>
      <xdr:rowOff>152400</xdr:rowOff>
    </xdr:to>
    <xdr:sp macro="" textlink="">
      <xdr:nvSpPr>
        <xdr:cNvPr id="895" name="Diagrama de flujo: conector 894">
          <a:extLst>
            <a:ext uri="{FF2B5EF4-FFF2-40B4-BE49-F238E27FC236}">
              <a16:creationId xmlns:a16="http://schemas.microsoft.com/office/drawing/2014/main" id="{F30508CA-55C8-4820-BB01-CF09EF7CE474}"/>
            </a:ext>
          </a:extLst>
        </xdr:cNvPr>
        <xdr:cNvSpPr/>
      </xdr:nvSpPr>
      <xdr:spPr>
        <a:xfrm>
          <a:off x="1962150" y="828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38100</xdr:colOff>
      <xdr:row>17</xdr:row>
      <xdr:rowOff>57150</xdr:rowOff>
    </xdr:from>
    <xdr:to>
      <xdr:col>3</xdr:col>
      <xdr:colOff>104775</xdr:colOff>
      <xdr:row>17</xdr:row>
      <xdr:rowOff>152400</xdr:rowOff>
    </xdr:to>
    <xdr:sp macro="" textlink="">
      <xdr:nvSpPr>
        <xdr:cNvPr id="896" name="Diagrama de flujo: conector 895">
          <a:extLst>
            <a:ext uri="{FF2B5EF4-FFF2-40B4-BE49-F238E27FC236}">
              <a16:creationId xmlns:a16="http://schemas.microsoft.com/office/drawing/2014/main" id="{EA7F3815-051F-4FAC-9D11-8339F304BCA6}"/>
            </a:ext>
          </a:extLst>
        </xdr:cNvPr>
        <xdr:cNvSpPr/>
      </xdr:nvSpPr>
      <xdr:spPr>
        <a:xfrm>
          <a:off x="1962150" y="1019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38100</xdr:colOff>
      <xdr:row>18</xdr:row>
      <xdr:rowOff>47625</xdr:rowOff>
    </xdr:from>
    <xdr:to>
      <xdr:col>3</xdr:col>
      <xdr:colOff>104775</xdr:colOff>
      <xdr:row>18</xdr:row>
      <xdr:rowOff>142875</xdr:rowOff>
    </xdr:to>
    <xdr:sp macro="" textlink="">
      <xdr:nvSpPr>
        <xdr:cNvPr id="898" name="Diagrama de flujo: conector 897">
          <a:extLst>
            <a:ext uri="{FF2B5EF4-FFF2-40B4-BE49-F238E27FC236}">
              <a16:creationId xmlns:a16="http://schemas.microsoft.com/office/drawing/2014/main" id="{B3743BC4-27CA-49A8-BBA9-58BB2EE029C2}"/>
            </a:ext>
          </a:extLst>
        </xdr:cNvPr>
        <xdr:cNvSpPr/>
      </xdr:nvSpPr>
      <xdr:spPr>
        <a:xfrm>
          <a:off x="1962150" y="1390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38100</xdr:colOff>
      <xdr:row>19</xdr:row>
      <xdr:rowOff>57150</xdr:rowOff>
    </xdr:from>
    <xdr:to>
      <xdr:col>3</xdr:col>
      <xdr:colOff>104775</xdr:colOff>
      <xdr:row>19</xdr:row>
      <xdr:rowOff>152400</xdr:rowOff>
    </xdr:to>
    <xdr:sp macro="" textlink="">
      <xdr:nvSpPr>
        <xdr:cNvPr id="899" name="Diagrama de flujo: conector 898">
          <a:extLst>
            <a:ext uri="{FF2B5EF4-FFF2-40B4-BE49-F238E27FC236}">
              <a16:creationId xmlns:a16="http://schemas.microsoft.com/office/drawing/2014/main" id="{AE683741-2283-4D7A-B152-3375C792D713}"/>
            </a:ext>
          </a:extLst>
        </xdr:cNvPr>
        <xdr:cNvSpPr/>
      </xdr:nvSpPr>
      <xdr:spPr>
        <a:xfrm>
          <a:off x="1962150" y="15906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38100</xdr:colOff>
      <xdr:row>20</xdr:row>
      <xdr:rowOff>57150</xdr:rowOff>
    </xdr:from>
    <xdr:to>
      <xdr:col>3</xdr:col>
      <xdr:colOff>104775</xdr:colOff>
      <xdr:row>20</xdr:row>
      <xdr:rowOff>152400</xdr:rowOff>
    </xdr:to>
    <xdr:sp macro="" textlink="">
      <xdr:nvSpPr>
        <xdr:cNvPr id="900" name="Diagrama de flujo: conector 899">
          <a:extLst>
            <a:ext uri="{FF2B5EF4-FFF2-40B4-BE49-F238E27FC236}">
              <a16:creationId xmlns:a16="http://schemas.microsoft.com/office/drawing/2014/main" id="{677A838D-2E83-43AC-9167-834353850FCE}"/>
            </a:ext>
          </a:extLst>
        </xdr:cNvPr>
        <xdr:cNvSpPr/>
      </xdr:nvSpPr>
      <xdr:spPr>
        <a:xfrm>
          <a:off x="1962150" y="178117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38100</xdr:colOff>
      <xdr:row>21</xdr:row>
      <xdr:rowOff>47625</xdr:rowOff>
    </xdr:from>
    <xdr:to>
      <xdr:col>3</xdr:col>
      <xdr:colOff>104775</xdr:colOff>
      <xdr:row>21</xdr:row>
      <xdr:rowOff>142875</xdr:rowOff>
    </xdr:to>
    <xdr:sp macro="" textlink="">
      <xdr:nvSpPr>
        <xdr:cNvPr id="902" name="Diagrama de flujo: conector 901">
          <a:extLst>
            <a:ext uri="{FF2B5EF4-FFF2-40B4-BE49-F238E27FC236}">
              <a16:creationId xmlns:a16="http://schemas.microsoft.com/office/drawing/2014/main" id="{E2B65537-EA5B-4135-A4A7-58C480CB74D6}"/>
            </a:ext>
          </a:extLst>
        </xdr:cNvPr>
        <xdr:cNvSpPr/>
      </xdr:nvSpPr>
      <xdr:spPr>
        <a:xfrm>
          <a:off x="1962150" y="2152650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38099</xdr:colOff>
      <xdr:row>24</xdr:row>
      <xdr:rowOff>123825</xdr:rowOff>
    </xdr:from>
    <xdr:to>
      <xdr:col>18</xdr:col>
      <xdr:colOff>28574</xdr:colOff>
      <xdr:row>26</xdr:row>
      <xdr:rowOff>47625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59C27E26-4FED-8487-768E-6B3A5799C48F}"/>
            </a:ext>
          </a:extLst>
        </xdr:cNvPr>
        <xdr:cNvSpPr txBox="1"/>
      </xdr:nvSpPr>
      <xdr:spPr>
        <a:xfrm>
          <a:off x="2771774" y="6324600"/>
          <a:ext cx="1285875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lang="es-ES" sz="1600" b="1"/>
        </a:p>
      </xdr:txBody>
    </xdr:sp>
    <xdr:clientData/>
  </xdr:twoCellAnchor>
  <xdr:oneCellAnchor>
    <xdr:from>
      <xdr:col>4</xdr:col>
      <xdr:colOff>85725</xdr:colOff>
      <xdr:row>26</xdr:row>
      <xdr:rowOff>123825</xdr:rowOff>
    </xdr:from>
    <xdr:ext cx="1781175" cy="32385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9CF772D6-8C3F-C4CF-B846-02FDCF0CC391}"/>
            </a:ext>
          </a:extLst>
        </xdr:cNvPr>
        <xdr:cNvSpPr txBox="1"/>
      </xdr:nvSpPr>
      <xdr:spPr>
        <a:xfrm>
          <a:off x="2286000" y="6705600"/>
          <a:ext cx="1781175" cy="323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r"/>
          <a:endParaRPr lang="es-ES" sz="1800" b="1"/>
        </a:p>
      </xdr:txBody>
    </xdr:sp>
    <xdr:clientData/>
  </xdr:oneCellAnchor>
  <xdr:twoCellAnchor>
    <xdr:from>
      <xdr:col>4</xdr:col>
      <xdr:colOff>38100</xdr:colOff>
      <xdr:row>11</xdr:row>
      <xdr:rowOff>47625</xdr:rowOff>
    </xdr:from>
    <xdr:to>
      <xdr:col>4</xdr:col>
      <xdr:colOff>104775</xdr:colOff>
      <xdr:row>11</xdr:row>
      <xdr:rowOff>142875</xdr:rowOff>
    </xdr:to>
    <xdr:sp macro="" textlink="">
      <xdr:nvSpPr>
        <xdr:cNvPr id="16" name="Diagrama de flujo: conector 15">
          <a:extLst>
            <a:ext uri="{FF2B5EF4-FFF2-40B4-BE49-F238E27FC236}">
              <a16:creationId xmlns:a16="http://schemas.microsoft.com/office/drawing/2014/main" id="{EE9D659D-B307-4B2E-A83D-828666AE8B52}"/>
            </a:ext>
          </a:extLst>
        </xdr:cNvPr>
        <xdr:cNvSpPr/>
      </xdr:nvSpPr>
      <xdr:spPr>
        <a:xfrm>
          <a:off x="223266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38100</xdr:colOff>
      <xdr:row>11</xdr:row>
      <xdr:rowOff>47625</xdr:rowOff>
    </xdr:from>
    <xdr:to>
      <xdr:col>5</xdr:col>
      <xdr:colOff>104775</xdr:colOff>
      <xdr:row>11</xdr:row>
      <xdr:rowOff>142875</xdr:rowOff>
    </xdr:to>
    <xdr:sp macro="" textlink="">
      <xdr:nvSpPr>
        <xdr:cNvPr id="17" name="Diagrama de flujo: conector 16">
          <a:extLst>
            <a:ext uri="{FF2B5EF4-FFF2-40B4-BE49-F238E27FC236}">
              <a16:creationId xmlns:a16="http://schemas.microsoft.com/office/drawing/2014/main" id="{463AE071-9926-46F6-B64E-3AB301F541F6}"/>
            </a:ext>
          </a:extLst>
        </xdr:cNvPr>
        <xdr:cNvSpPr/>
      </xdr:nvSpPr>
      <xdr:spPr>
        <a:xfrm>
          <a:off x="236982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38100</xdr:colOff>
      <xdr:row>11</xdr:row>
      <xdr:rowOff>47625</xdr:rowOff>
    </xdr:from>
    <xdr:to>
      <xdr:col>6</xdr:col>
      <xdr:colOff>104775</xdr:colOff>
      <xdr:row>11</xdr:row>
      <xdr:rowOff>142875</xdr:rowOff>
    </xdr:to>
    <xdr:sp macro="" textlink="">
      <xdr:nvSpPr>
        <xdr:cNvPr id="18" name="Diagrama de flujo: conector 17">
          <a:extLst>
            <a:ext uri="{FF2B5EF4-FFF2-40B4-BE49-F238E27FC236}">
              <a16:creationId xmlns:a16="http://schemas.microsoft.com/office/drawing/2014/main" id="{27600D6B-2C95-4CD9-9D82-1E5579CB361C}"/>
            </a:ext>
          </a:extLst>
        </xdr:cNvPr>
        <xdr:cNvSpPr/>
      </xdr:nvSpPr>
      <xdr:spPr>
        <a:xfrm>
          <a:off x="250698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38100</xdr:colOff>
      <xdr:row>11</xdr:row>
      <xdr:rowOff>47625</xdr:rowOff>
    </xdr:from>
    <xdr:to>
      <xdr:col>7</xdr:col>
      <xdr:colOff>104775</xdr:colOff>
      <xdr:row>11</xdr:row>
      <xdr:rowOff>142875</xdr:rowOff>
    </xdr:to>
    <xdr:sp macro="" textlink="">
      <xdr:nvSpPr>
        <xdr:cNvPr id="19" name="Diagrama de flujo: conector 18">
          <a:extLst>
            <a:ext uri="{FF2B5EF4-FFF2-40B4-BE49-F238E27FC236}">
              <a16:creationId xmlns:a16="http://schemas.microsoft.com/office/drawing/2014/main" id="{263C4AD2-F0D5-40D8-8A0A-ADC3D6C9EF09}"/>
            </a:ext>
          </a:extLst>
        </xdr:cNvPr>
        <xdr:cNvSpPr/>
      </xdr:nvSpPr>
      <xdr:spPr>
        <a:xfrm>
          <a:off x="264414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38100</xdr:colOff>
      <xdr:row>11</xdr:row>
      <xdr:rowOff>47625</xdr:rowOff>
    </xdr:from>
    <xdr:to>
      <xdr:col>8</xdr:col>
      <xdr:colOff>104775</xdr:colOff>
      <xdr:row>11</xdr:row>
      <xdr:rowOff>142875</xdr:rowOff>
    </xdr:to>
    <xdr:sp macro="" textlink="">
      <xdr:nvSpPr>
        <xdr:cNvPr id="20" name="Diagrama de flujo: conector 19">
          <a:extLst>
            <a:ext uri="{FF2B5EF4-FFF2-40B4-BE49-F238E27FC236}">
              <a16:creationId xmlns:a16="http://schemas.microsoft.com/office/drawing/2014/main" id="{BE79FD00-DB6A-4E9A-A8C6-E3AA8FC4A96F}"/>
            </a:ext>
          </a:extLst>
        </xdr:cNvPr>
        <xdr:cNvSpPr/>
      </xdr:nvSpPr>
      <xdr:spPr>
        <a:xfrm>
          <a:off x="278130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38100</xdr:colOff>
      <xdr:row>11</xdr:row>
      <xdr:rowOff>47625</xdr:rowOff>
    </xdr:from>
    <xdr:to>
      <xdr:col>9</xdr:col>
      <xdr:colOff>104775</xdr:colOff>
      <xdr:row>11</xdr:row>
      <xdr:rowOff>142875</xdr:rowOff>
    </xdr:to>
    <xdr:sp macro="" textlink="">
      <xdr:nvSpPr>
        <xdr:cNvPr id="21" name="Diagrama de flujo: conector 20">
          <a:extLst>
            <a:ext uri="{FF2B5EF4-FFF2-40B4-BE49-F238E27FC236}">
              <a16:creationId xmlns:a16="http://schemas.microsoft.com/office/drawing/2014/main" id="{9B51D207-B3E9-4DF5-A047-C90E6B0B7233}"/>
            </a:ext>
          </a:extLst>
        </xdr:cNvPr>
        <xdr:cNvSpPr/>
      </xdr:nvSpPr>
      <xdr:spPr>
        <a:xfrm>
          <a:off x="291846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38100</xdr:colOff>
      <xdr:row>11</xdr:row>
      <xdr:rowOff>47625</xdr:rowOff>
    </xdr:from>
    <xdr:to>
      <xdr:col>10</xdr:col>
      <xdr:colOff>104775</xdr:colOff>
      <xdr:row>11</xdr:row>
      <xdr:rowOff>142875</xdr:rowOff>
    </xdr:to>
    <xdr:sp macro="" textlink="">
      <xdr:nvSpPr>
        <xdr:cNvPr id="22" name="Diagrama de flujo: conector 21">
          <a:extLst>
            <a:ext uri="{FF2B5EF4-FFF2-40B4-BE49-F238E27FC236}">
              <a16:creationId xmlns:a16="http://schemas.microsoft.com/office/drawing/2014/main" id="{E6977E13-7927-42CC-A668-DF16DA98474E}"/>
            </a:ext>
          </a:extLst>
        </xdr:cNvPr>
        <xdr:cNvSpPr/>
      </xdr:nvSpPr>
      <xdr:spPr>
        <a:xfrm>
          <a:off x="305562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38100</xdr:colOff>
      <xdr:row>11</xdr:row>
      <xdr:rowOff>47625</xdr:rowOff>
    </xdr:from>
    <xdr:to>
      <xdr:col>3</xdr:col>
      <xdr:colOff>104775</xdr:colOff>
      <xdr:row>11</xdr:row>
      <xdr:rowOff>142875</xdr:rowOff>
    </xdr:to>
    <xdr:sp macro="" textlink="">
      <xdr:nvSpPr>
        <xdr:cNvPr id="23" name="Diagrama de flujo: conector 22">
          <a:extLst>
            <a:ext uri="{FF2B5EF4-FFF2-40B4-BE49-F238E27FC236}">
              <a16:creationId xmlns:a16="http://schemas.microsoft.com/office/drawing/2014/main" id="{9DEC884E-704A-4A8E-959A-F068EE24059C}"/>
            </a:ext>
          </a:extLst>
        </xdr:cNvPr>
        <xdr:cNvSpPr/>
      </xdr:nvSpPr>
      <xdr:spPr>
        <a:xfrm>
          <a:off x="209550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38100</xdr:colOff>
      <xdr:row>11</xdr:row>
      <xdr:rowOff>47625</xdr:rowOff>
    </xdr:from>
    <xdr:to>
      <xdr:col>16</xdr:col>
      <xdr:colOff>104775</xdr:colOff>
      <xdr:row>11</xdr:row>
      <xdr:rowOff>142875</xdr:rowOff>
    </xdr:to>
    <xdr:sp macro="" textlink="">
      <xdr:nvSpPr>
        <xdr:cNvPr id="24" name="Diagrama de flujo: conector 23">
          <a:extLst>
            <a:ext uri="{FF2B5EF4-FFF2-40B4-BE49-F238E27FC236}">
              <a16:creationId xmlns:a16="http://schemas.microsoft.com/office/drawing/2014/main" id="{B83E81D7-50E3-446C-9307-D8466B41DDE7}"/>
            </a:ext>
          </a:extLst>
        </xdr:cNvPr>
        <xdr:cNvSpPr/>
      </xdr:nvSpPr>
      <xdr:spPr>
        <a:xfrm>
          <a:off x="381762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38100</xdr:colOff>
      <xdr:row>11</xdr:row>
      <xdr:rowOff>47625</xdr:rowOff>
    </xdr:from>
    <xdr:to>
      <xdr:col>17</xdr:col>
      <xdr:colOff>104775</xdr:colOff>
      <xdr:row>11</xdr:row>
      <xdr:rowOff>142875</xdr:rowOff>
    </xdr:to>
    <xdr:sp macro="" textlink="">
      <xdr:nvSpPr>
        <xdr:cNvPr id="25" name="Diagrama de flujo: conector 24">
          <a:extLst>
            <a:ext uri="{FF2B5EF4-FFF2-40B4-BE49-F238E27FC236}">
              <a16:creationId xmlns:a16="http://schemas.microsoft.com/office/drawing/2014/main" id="{E8FB3E58-E3EC-445E-803C-1A7EDFBACC2A}"/>
            </a:ext>
          </a:extLst>
        </xdr:cNvPr>
        <xdr:cNvSpPr/>
      </xdr:nvSpPr>
      <xdr:spPr>
        <a:xfrm>
          <a:off x="395478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38100</xdr:colOff>
      <xdr:row>11</xdr:row>
      <xdr:rowOff>47625</xdr:rowOff>
    </xdr:from>
    <xdr:to>
      <xdr:col>18</xdr:col>
      <xdr:colOff>104775</xdr:colOff>
      <xdr:row>11</xdr:row>
      <xdr:rowOff>142875</xdr:rowOff>
    </xdr:to>
    <xdr:sp macro="" textlink="">
      <xdr:nvSpPr>
        <xdr:cNvPr id="26" name="Diagrama de flujo: conector 25">
          <a:extLst>
            <a:ext uri="{FF2B5EF4-FFF2-40B4-BE49-F238E27FC236}">
              <a16:creationId xmlns:a16="http://schemas.microsoft.com/office/drawing/2014/main" id="{F94A778B-C4C1-47DD-B0C3-C03BD20A567C}"/>
            </a:ext>
          </a:extLst>
        </xdr:cNvPr>
        <xdr:cNvSpPr/>
      </xdr:nvSpPr>
      <xdr:spPr>
        <a:xfrm>
          <a:off x="409194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38100</xdr:colOff>
      <xdr:row>11</xdr:row>
      <xdr:rowOff>47625</xdr:rowOff>
    </xdr:from>
    <xdr:to>
      <xdr:col>19</xdr:col>
      <xdr:colOff>104775</xdr:colOff>
      <xdr:row>11</xdr:row>
      <xdr:rowOff>142875</xdr:rowOff>
    </xdr:to>
    <xdr:sp macro="" textlink="">
      <xdr:nvSpPr>
        <xdr:cNvPr id="27" name="Diagrama de flujo: conector 26">
          <a:extLst>
            <a:ext uri="{FF2B5EF4-FFF2-40B4-BE49-F238E27FC236}">
              <a16:creationId xmlns:a16="http://schemas.microsoft.com/office/drawing/2014/main" id="{909E461E-6420-46E7-A317-7649BD5C6279}"/>
            </a:ext>
          </a:extLst>
        </xdr:cNvPr>
        <xdr:cNvSpPr/>
      </xdr:nvSpPr>
      <xdr:spPr>
        <a:xfrm>
          <a:off x="422910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20</xdr:col>
      <xdr:colOff>38100</xdr:colOff>
      <xdr:row>11</xdr:row>
      <xdr:rowOff>47625</xdr:rowOff>
    </xdr:from>
    <xdr:to>
      <xdr:col>20</xdr:col>
      <xdr:colOff>104775</xdr:colOff>
      <xdr:row>11</xdr:row>
      <xdr:rowOff>142875</xdr:rowOff>
    </xdr:to>
    <xdr:sp macro="" textlink="">
      <xdr:nvSpPr>
        <xdr:cNvPr id="28" name="Diagrama de flujo: conector 27">
          <a:extLst>
            <a:ext uri="{FF2B5EF4-FFF2-40B4-BE49-F238E27FC236}">
              <a16:creationId xmlns:a16="http://schemas.microsoft.com/office/drawing/2014/main" id="{6EC70AA4-E73D-4508-8C8E-EAD41D957A75}"/>
            </a:ext>
          </a:extLst>
        </xdr:cNvPr>
        <xdr:cNvSpPr/>
      </xdr:nvSpPr>
      <xdr:spPr>
        <a:xfrm>
          <a:off x="436626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21</xdr:col>
      <xdr:colOff>38100</xdr:colOff>
      <xdr:row>11</xdr:row>
      <xdr:rowOff>47625</xdr:rowOff>
    </xdr:from>
    <xdr:to>
      <xdr:col>21</xdr:col>
      <xdr:colOff>104775</xdr:colOff>
      <xdr:row>11</xdr:row>
      <xdr:rowOff>142875</xdr:rowOff>
    </xdr:to>
    <xdr:sp macro="" textlink="">
      <xdr:nvSpPr>
        <xdr:cNvPr id="29" name="Diagrama de flujo: conector 28">
          <a:extLst>
            <a:ext uri="{FF2B5EF4-FFF2-40B4-BE49-F238E27FC236}">
              <a16:creationId xmlns:a16="http://schemas.microsoft.com/office/drawing/2014/main" id="{F43CAB86-BC43-4E76-9516-298182EEBD9C}"/>
            </a:ext>
          </a:extLst>
        </xdr:cNvPr>
        <xdr:cNvSpPr/>
      </xdr:nvSpPr>
      <xdr:spPr>
        <a:xfrm>
          <a:off x="450342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38100</xdr:colOff>
      <xdr:row>11</xdr:row>
      <xdr:rowOff>47625</xdr:rowOff>
    </xdr:from>
    <xdr:to>
      <xdr:col>22</xdr:col>
      <xdr:colOff>104775</xdr:colOff>
      <xdr:row>11</xdr:row>
      <xdr:rowOff>142875</xdr:rowOff>
    </xdr:to>
    <xdr:sp macro="" textlink="">
      <xdr:nvSpPr>
        <xdr:cNvPr id="30" name="Diagrama de flujo: conector 29">
          <a:extLst>
            <a:ext uri="{FF2B5EF4-FFF2-40B4-BE49-F238E27FC236}">
              <a16:creationId xmlns:a16="http://schemas.microsoft.com/office/drawing/2014/main" id="{462A8266-5391-44D5-99B2-C2DA14EFB36B}"/>
            </a:ext>
          </a:extLst>
        </xdr:cNvPr>
        <xdr:cNvSpPr/>
      </xdr:nvSpPr>
      <xdr:spPr>
        <a:xfrm>
          <a:off x="464058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38100</xdr:colOff>
      <xdr:row>11</xdr:row>
      <xdr:rowOff>47625</xdr:rowOff>
    </xdr:from>
    <xdr:to>
      <xdr:col>15</xdr:col>
      <xdr:colOff>104775</xdr:colOff>
      <xdr:row>11</xdr:row>
      <xdr:rowOff>142875</xdr:rowOff>
    </xdr:to>
    <xdr:sp macro="" textlink="">
      <xdr:nvSpPr>
        <xdr:cNvPr id="31" name="Diagrama de flujo: conector 30">
          <a:extLst>
            <a:ext uri="{FF2B5EF4-FFF2-40B4-BE49-F238E27FC236}">
              <a16:creationId xmlns:a16="http://schemas.microsoft.com/office/drawing/2014/main" id="{E67C228D-9754-402A-A763-C77C2C403B00}"/>
            </a:ext>
          </a:extLst>
        </xdr:cNvPr>
        <xdr:cNvSpPr/>
      </xdr:nvSpPr>
      <xdr:spPr>
        <a:xfrm>
          <a:off x="368046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28</xdr:col>
      <xdr:colOff>38100</xdr:colOff>
      <xdr:row>11</xdr:row>
      <xdr:rowOff>47625</xdr:rowOff>
    </xdr:from>
    <xdr:to>
      <xdr:col>28</xdr:col>
      <xdr:colOff>104775</xdr:colOff>
      <xdr:row>11</xdr:row>
      <xdr:rowOff>142875</xdr:rowOff>
    </xdr:to>
    <xdr:sp macro="" textlink="">
      <xdr:nvSpPr>
        <xdr:cNvPr id="32" name="Diagrama de flujo: conector 31">
          <a:extLst>
            <a:ext uri="{FF2B5EF4-FFF2-40B4-BE49-F238E27FC236}">
              <a16:creationId xmlns:a16="http://schemas.microsoft.com/office/drawing/2014/main" id="{4646CB5D-CEFF-4AB4-BC11-90A8BB15DF77}"/>
            </a:ext>
          </a:extLst>
        </xdr:cNvPr>
        <xdr:cNvSpPr/>
      </xdr:nvSpPr>
      <xdr:spPr>
        <a:xfrm>
          <a:off x="540258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29</xdr:col>
      <xdr:colOff>38100</xdr:colOff>
      <xdr:row>11</xdr:row>
      <xdr:rowOff>47625</xdr:rowOff>
    </xdr:from>
    <xdr:to>
      <xdr:col>29</xdr:col>
      <xdr:colOff>104775</xdr:colOff>
      <xdr:row>11</xdr:row>
      <xdr:rowOff>142875</xdr:rowOff>
    </xdr:to>
    <xdr:sp macro="" textlink="">
      <xdr:nvSpPr>
        <xdr:cNvPr id="33" name="Diagrama de flujo: conector 32">
          <a:extLst>
            <a:ext uri="{FF2B5EF4-FFF2-40B4-BE49-F238E27FC236}">
              <a16:creationId xmlns:a16="http://schemas.microsoft.com/office/drawing/2014/main" id="{900BE112-7307-4086-8E8C-658C01F7892D}"/>
            </a:ext>
          </a:extLst>
        </xdr:cNvPr>
        <xdr:cNvSpPr/>
      </xdr:nvSpPr>
      <xdr:spPr>
        <a:xfrm>
          <a:off x="553974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30</xdr:col>
      <xdr:colOff>38100</xdr:colOff>
      <xdr:row>11</xdr:row>
      <xdr:rowOff>47625</xdr:rowOff>
    </xdr:from>
    <xdr:to>
      <xdr:col>30</xdr:col>
      <xdr:colOff>104775</xdr:colOff>
      <xdr:row>11</xdr:row>
      <xdr:rowOff>142875</xdr:rowOff>
    </xdr:to>
    <xdr:sp macro="" textlink="">
      <xdr:nvSpPr>
        <xdr:cNvPr id="34" name="Diagrama de flujo: conector 33">
          <a:extLst>
            <a:ext uri="{FF2B5EF4-FFF2-40B4-BE49-F238E27FC236}">
              <a16:creationId xmlns:a16="http://schemas.microsoft.com/office/drawing/2014/main" id="{B15455E9-DBB2-48A1-A713-A81946A25274}"/>
            </a:ext>
          </a:extLst>
        </xdr:cNvPr>
        <xdr:cNvSpPr/>
      </xdr:nvSpPr>
      <xdr:spPr>
        <a:xfrm>
          <a:off x="567690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31</xdr:col>
      <xdr:colOff>38100</xdr:colOff>
      <xdr:row>11</xdr:row>
      <xdr:rowOff>47625</xdr:rowOff>
    </xdr:from>
    <xdr:to>
      <xdr:col>31</xdr:col>
      <xdr:colOff>104775</xdr:colOff>
      <xdr:row>11</xdr:row>
      <xdr:rowOff>142875</xdr:rowOff>
    </xdr:to>
    <xdr:sp macro="" textlink="">
      <xdr:nvSpPr>
        <xdr:cNvPr id="35" name="Diagrama de flujo: conector 34">
          <a:extLst>
            <a:ext uri="{FF2B5EF4-FFF2-40B4-BE49-F238E27FC236}">
              <a16:creationId xmlns:a16="http://schemas.microsoft.com/office/drawing/2014/main" id="{095B5C8E-B801-4918-81DE-ECEDB348F402}"/>
            </a:ext>
          </a:extLst>
        </xdr:cNvPr>
        <xdr:cNvSpPr/>
      </xdr:nvSpPr>
      <xdr:spPr>
        <a:xfrm>
          <a:off x="581406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32</xdr:col>
      <xdr:colOff>38100</xdr:colOff>
      <xdr:row>11</xdr:row>
      <xdr:rowOff>47625</xdr:rowOff>
    </xdr:from>
    <xdr:to>
      <xdr:col>32</xdr:col>
      <xdr:colOff>104775</xdr:colOff>
      <xdr:row>11</xdr:row>
      <xdr:rowOff>142875</xdr:rowOff>
    </xdr:to>
    <xdr:sp macro="" textlink="">
      <xdr:nvSpPr>
        <xdr:cNvPr id="36" name="Diagrama de flujo: conector 35">
          <a:extLst>
            <a:ext uri="{FF2B5EF4-FFF2-40B4-BE49-F238E27FC236}">
              <a16:creationId xmlns:a16="http://schemas.microsoft.com/office/drawing/2014/main" id="{5AB26848-0E86-434C-815B-1C38197FDE86}"/>
            </a:ext>
          </a:extLst>
        </xdr:cNvPr>
        <xdr:cNvSpPr/>
      </xdr:nvSpPr>
      <xdr:spPr>
        <a:xfrm>
          <a:off x="595122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33</xdr:col>
      <xdr:colOff>38100</xdr:colOff>
      <xdr:row>11</xdr:row>
      <xdr:rowOff>47625</xdr:rowOff>
    </xdr:from>
    <xdr:to>
      <xdr:col>33</xdr:col>
      <xdr:colOff>104775</xdr:colOff>
      <xdr:row>11</xdr:row>
      <xdr:rowOff>142875</xdr:rowOff>
    </xdr:to>
    <xdr:sp macro="" textlink="">
      <xdr:nvSpPr>
        <xdr:cNvPr id="37" name="Diagrama de flujo: conector 36">
          <a:extLst>
            <a:ext uri="{FF2B5EF4-FFF2-40B4-BE49-F238E27FC236}">
              <a16:creationId xmlns:a16="http://schemas.microsoft.com/office/drawing/2014/main" id="{82281E42-DCDB-40B3-9E94-E6412FA29746}"/>
            </a:ext>
          </a:extLst>
        </xdr:cNvPr>
        <xdr:cNvSpPr/>
      </xdr:nvSpPr>
      <xdr:spPr>
        <a:xfrm>
          <a:off x="608838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34</xdr:col>
      <xdr:colOff>38100</xdr:colOff>
      <xdr:row>11</xdr:row>
      <xdr:rowOff>47625</xdr:rowOff>
    </xdr:from>
    <xdr:to>
      <xdr:col>34</xdr:col>
      <xdr:colOff>104775</xdr:colOff>
      <xdr:row>11</xdr:row>
      <xdr:rowOff>142875</xdr:rowOff>
    </xdr:to>
    <xdr:sp macro="" textlink="">
      <xdr:nvSpPr>
        <xdr:cNvPr id="38" name="Diagrama de flujo: conector 37">
          <a:extLst>
            <a:ext uri="{FF2B5EF4-FFF2-40B4-BE49-F238E27FC236}">
              <a16:creationId xmlns:a16="http://schemas.microsoft.com/office/drawing/2014/main" id="{31D9E369-F5BD-427E-808D-A0A54E0CEAD5}"/>
            </a:ext>
          </a:extLst>
        </xdr:cNvPr>
        <xdr:cNvSpPr/>
      </xdr:nvSpPr>
      <xdr:spPr>
        <a:xfrm>
          <a:off x="622554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27</xdr:col>
      <xdr:colOff>38100</xdr:colOff>
      <xdr:row>11</xdr:row>
      <xdr:rowOff>47625</xdr:rowOff>
    </xdr:from>
    <xdr:to>
      <xdr:col>27</xdr:col>
      <xdr:colOff>104775</xdr:colOff>
      <xdr:row>11</xdr:row>
      <xdr:rowOff>142875</xdr:rowOff>
    </xdr:to>
    <xdr:sp macro="" textlink="">
      <xdr:nvSpPr>
        <xdr:cNvPr id="39" name="Diagrama de flujo: conector 38">
          <a:extLst>
            <a:ext uri="{FF2B5EF4-FFF2-40B4-BE49-F238E27FC236}">
              <a16:creationId xmlns:a16="http://schemas.microsoft.com/office/drawing/2014/main" id="{54F63923-75E6-4A80-8F5A-62543827F768}"/>
            </a:ext>
          </a:extLst>
        </xdr:cNvPr>
        <xdr:cNvSpPr/>
      </xdr:nvSpPr>
      <xdr:spPr>
        <a:xfrm>
          <a:off x="526542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40</xdr:col>
      <xdr:colOff>38100</xdr:colOff>
      <xdr:row>11</xdr:row>
      <xdr:rowOff>47625</xdr:rowOff>
    </xdr:from>
    <xdr:to>
      <xdr:col>40</xdr:col>
      <xdr:colOff>104775</xdr:colOff>
      <xdr:row>11</xdr:row>
      <xdr:rowOff>142875</xdr:rowOff>
    </xdr:to>
    <xdr:sp macro="" textlink="">
      <xdr:nvSpPr>
        <xdr:cNvPr id="40" name="Diagrama de flujo: conector 39">
          <a:extLst>
            <a:ext uri="{FF2B5EF4-FFF2-40B4-BE49-F238E27FC236}">
              <a16:creationId xmlns:a16="http://schemas.microsoft.com/office/drawing/2014/main" id="{901554B2-2B1E-4C90-8872-C682953C2B87}"/>
            </a:ext>
          </a:extLst>
        </xdr:cNvPr>
        <xdr:cNvSpPr/>
      </xdr:nvSpPr>
      <xdr:spPr>
        <a:xfrm>
          <a:off x="698754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41</xdr:col>
      <xdr:colOff>38100</xdr:colOff>
      <xdr:row>11</xdr:row>
      <xdr:rowOff>47625</xdr:rowOff>
    </xdr:from>
    <xdr:to>
      <xdr:col>41</xdr:col>
      <xdr:colOff>104775</xdr:colOff>
      <xdr:row>11</xdr:row>
      <xdr:rowOff>142875</xdr:rowOff>
    </xdr:to>
    <xdr:sp macro="" textlink="">
      <xdr:nvSpPr>
        <xdr:cNvPr id="41" name="Diagrama de flujo: conector 40">
          <a:extLst>
            <a:ext uri="{FF2B5EF4-FFF2-40B4-BE49-F238E27FC236}">
              <a16:creationId xmlns:a16="http://schemas.microsoft.com/office/drawing/2014/main" id="{7D79D921-FEF6-4D2D-B079-DEE50067F4DD}"/>
            </a:ext>
          </a:extLst>
        </xdr:cNvPr>
        <xdr:cNvSpPr/>
      </xdr:nvSpPr>
      <xdr:spPr>
        <a:xfrm>
          <a:off x="712470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42</xdr:col>
      <xdr:colOff>38100</xdr:colOff>
      <xdr:row>11</xdr:row>
      <xdr:rowOff>47625</xdr:rowOff>
    </xdr:from>
    <xdr:to>
      <xdr:col>42</xdr:col>
      <xdr:colOff>104775</xdr:colOff>
      <xdr:row>11</xdr:row>
      <xdr:rowOff>142875</xdr:rowOff>
    </xdr:to>
    <xdr:sp macro="" textlink="">
      <xdr:nvSpPr>
        <xdr:cNvPr id="42" name="Diagrama de flujo: conector 41">
          <a:extLst>
            <a:ext uri="{FF2B5EF4-FFF2-40B4-BE49-F238E27FC236}">
              <a16:creationId xmlns:a16="http://schemas.microsoft.com/office/drawing/2014/main" id="{EB2B59EB-C2D7-479B-916C-213579E3569D}"/>
            </a:ext>
          </a:extLst>
        </xdr:cNvPr>
        <xdr:cNvSpPr/>
      </xdr:nvSpPr>
      <xdr:spPr>
        <a:xfrm>
          <a:off x="726186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43</xdr:col>
      <xdr:colOff>38100</xdr:colOff>
      <xdr:row>11</xdr:row>
      <xdr:rowOff>47625</xdr:rowOff>
    </xdr:from>
    <xdr:to>
      <xdr:col>43</xdr:col>
      <xdr:colOff>104775</xdr:colOff>
      <xdr:row>11</xdr:row>
      <xdr:rowOff>142875</xdr:rowOff>
    </xdr:to>
    <xdr:sp macro="" textlink="">
      <xdr:nvSpPr>
        <xdr:cNvPr id="43" name="Diagrama de flujo: conector 42">
          <a:extLst>
            <a:ext uri="{FF2B5EF4-FFF2-40B4-BE49-F238E27FC236}">
              <a16:creationId xmlns:a16="http://schemas.microsoft.com/office/drawing/2014/main" id="{6A5D3EA3-3776-49A9-B52B-DC9EFFE6C4B7}"/>
            </a:ext>
          </a:extLst>
        </xdr:cNvPr>
        <xdr:cNvSpPr/>
      </xdr:nvSpPr>
      <xdr:spPr>
        <a:xfrm>
          <a:off x="739902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44</xdr:col>
      <xdr:colOff>38100</xdr:colOff>
      <xdr:row>11</xdr:row>
      <xdr:rowOff>47625</xdr:rowOff>
    </xdr:from>
    <xdr:to>
      <xdr:col>44</xdr:col>
      <xdr:colOff>104775</xdr:colOff>
      <xdr:row>11</xdr:row>
      <xdr:rowOff>142875</xdr:rowOff>
    </xdr:to>
    <xdr:sp macro="" textlink="">
      <xdr:nvSpPr>
        <xdr:cNvPr id="44" name="Diagrama de flujo: conector 43">
          <a:extLst>
            <a:ext uri="{FF2B5EF4-FFF2-40B4-BE49-F238E27FC236}">
              <a16:creationId xmlns:a16="http://schemas.microsoft.com/office/drawing/2014/main" id="{04A56493-F9C5-418B-8C23-EC6D2A3A217E}"/>
            </a:ext>
          </a:extLst>
        </xdr:cNvPr>
        <xdr:cNvSpPr/>
      </xdr:nvSpPr>
      <xdr:spPr>
        <a:xfrm>
          <a:off x="753618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45</xdr:col>
      <xdr:colOff>38100</xdr:colOff>
      <xdr:row>11</xdr:row>
      <xdr:rowOff>47625</xdr:rowOff>
    </xdr:from>
    <xdr:to>
      <xdr:col>45</xdr:col>
      <xdr:colOff>104775</xdr:colOff>
      <xdr:row>11</xdr:row>
      <xdr:rowOff>142875</xdr:rowOff>
    </xdr:to>
    <xdr:sp macro="" textlink="">
      <xdr:nvSpPr>
        <xdr:cNvPr id="45" name="Diagrama de flujo: conector 44">
          <a:extLst>
            <a:ext uri="{FF2B5EF4-FFF2-40B4-BE49-F238E27FC236}">
              <a16:creationId xmlns:a16="http://schemas.microsoft.com/office/drawing/2014/main" id="{4157AB99-188E-46CB-9FCC-65F7F2D83140}"/>
            </a:ext>
          </a:extLst>
        </xdr:cNvPr>
        <xdr:cNvSpPr/>
      </xdr:nvSpPr>
      <xdr:spPr>
        <a:xfrm>
          <a:off x="767334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46</xdr:col>
      <xdr:colOff>38100</xdr:colOff>
      <xdr:row>11</xdr:row>
      <xdr:rowOff>47625</xdr:rowOff>
    </xdr:from>
    <xdr:to>
      <xdr:col>46</xdr:col>
      <xdr:colOff>104775</xdr:colOff>
      <xdr:row>11</xdr:row>
      <xdr:rowOff>142875</xdr:rowOff>
    </xdr:to>
    <xdr:sp macro="" textlink="">
      <xdr:nvSpPr>
        <xdr:cNvPr id="46" name="Diagrama de flujo: conector 45">
          <a:extLst>
            <a:ext uri="{FF2B5EF4-FFF2-40B4-BE49-F238E27FC236}">
              <a16:creationId xmlns:a16="http://schemas.microsoft.com/office/drawing/2014/main" id="{40B19115-4C25-4915-8840-A910573C7332}"/>
            </a:ext>
          </a:extLst>
        </xdr:cNvPr>
        <xdr:cNvSpPr/>
      </xdr:nvSpPr>
      <xdr:spPr>
        <a:xfrm>
          <a:off x="781050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39</xdr:col>
      <xdr:colOff>38100</xdr:colOff>
      <xdr:row>11</xdr:row>
      <xdr:rowOff>47625</xdr:rowOff>
    </xdr:from>
    <xdr:to>
      <xdr:col>39</xdr:col>
      <xdr:colOff>104775</xdr:colOff>
      <xdr:row>11</xdr:row>
      <xdr:rowOff>142875</xdr:rowOff>
    </xdr:to>
    <xdr:sp macro="" textlink="">
      <xdr:nvSpPr>
        <xdr:cNvPr id="47" name="Diagrama de flujo: conector 46">
          <a:extLst>
            <a:ext uri="{FF2B5EF4-FFF2-40B4-BE49-F238E27FC236}">
              <a16:creationId xmlns:a16="http://schemas.microsoft.com/office/drawing/2014/main" id="{5F3BC7BB-F37A-4D3E-BDF0-49C94A7DAA64}"/>
            </a:ext>
          </a:extLst>
        </xdr:cNvPr>
        <xdr:cNvSpPr/>
      </xdr:nvSpPr>
      <xdr:spPr>
        <a:xfrm>
          <a:off x="685038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52</xdr:col>
      <xdr:colOff>38100</xdr:colOff>
      <xdr:row>11</xdr:row>
      <xdr:rowOff>47625</xdr:rowOff>
    </xdr:from>
    <xdr:to>
      <xdr:col>52</xdr:col>
      <xdr:colOff>104775</xdr:colOff>
      <xdr:row>11</xdr:row>
      <xdr:rowOff>142875</xdr:rowOff>
    </xdr:to>
    <xdr:sp macro="" textlink="">
      <xdr:nvSpPr>
        <xdr:cNvPr id="48" name="Diagrama de flujo: conector 47">
          <a:extLst>
            <a:ext uri="{FF2B5EF4-FFF2-40B4-BE49-F238E27FC236}">
              <a16:creationId xmlns:a16="http://schemas.microsoft.com/office/drawing/2014/main" id="{04BB5E5B-5345-4AD3-ABEA-2F86C066D6E5}"/>
            </a:ext>
          </a:extLst>
        </xdr:cNvPr>
        <xdr:cNvSpPr/>
      </xdr:nvSpPr>
      <xdr:spPr>
        <a:xfrm>
          <a:off x="857250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53</xdr:col>
      <xdr:colOff>38100</xdr:colOff>
      <xdr:row>11</xdr:row>
      <xdr:rowOff>47625</xdr:rowOff>
    </xdr:from>
    <xdr:to>
      <xdr:col>53</xdr:col>
      <xdr:colOff>104775</xdr:colOff>
      <xdr:row>11</xdr:row>
      <xdr:rowOff>142875</xdr:rowOff>
    </xdr:to>
    <xdr:sp macro="" textlink="">
      <xdr:nvSpPr>
        <xdr:cNvPr id="49" name="Diagrama de flujo: conector 48">
          <a:extLst>
            <a:ext uri="{FF2B5EF4-FFF2-40B4-BE49-F238E27FC236}">
              <a16:creationId xmlns:a16="http://schemas.microsoft.com/office/drawing/2014/main" id="{D674A5D9-7342-42AB-A131-C146BD0AEDF4}"/>
            </a:ext>
          </a:extLst>
        </xdr:cNvPr>
        <xdr:cNvSpPr/>
      </xdr:nvSpPr>
      <xdr:spPr>
        <a:xfrm>
          <a:off x="870966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54</xdr:col>
      <xdr:colOff>38100</xdr:colOff>
      <xdr:row>11</xdr:row>
      <xdr:rowOff>47625</xdr:rowOff>
    </xdr:from>
    <xdr:to>
      <xdr:col>54</xdr:col>
      <xdr:colOff>104775</xdr:colOff>
      <xdr:row>11</xdr:row>
      <xdr:rowOff>142875</xdr:rowOff>
    </xdr:to>
    <xdr:sp macro="" textlink="">
      <xdr:nvSpPr>
        <xdr:cNvPr id="50" name="Diagrama de flujo: conector 49">
          <a:extLst>
            <a:ext uri="{FF2B5EF4-FFF2-40B4-BE49-F238E27FC236}">
              <a16:creationId xmlns:a16="http://schemas.microsoft.com/office/drawing/2014/main" id="{A7722D71-F63C-4F37-8CBA-7F539B75E519}"/>
            </a:ext>
          </a:extLst>
        </xdr:cNvPr>
        <xdr:cNvSpPr/>
      </xdr:nvSpPr>
      <xdr:spPr>
        <a:xfrm>
          <a:off x="884682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55</xdr:col>
      <xdr:colOff>38100</xdr:colOff>
      <xdr:row>11</xdr:row>
      <xdr:rowOff>47625</xdr:rowOff>
    </xdr:from>
    <xdr:to>
      <xdr:col>55</xdr:col>
      <xdr:colOff>104775</xdr:colOff>
      <xdr:row>11</xdr:row>
      <xdr:rowOff>142875</xdr:rowOff>
    </xdr:to>
    <xdr:sp macro="" textlink="">
      <xdr:nvSpPr>
        <xdr:cNvPr id="51" name="Diagrama de flujo: conector 50">
          <a:extLst>
            <a:ext uri="{FF2B5EF4-FFF2-40B4-BE49-F238E27FC236}">
              <a16:creationId xmlns:a16="http://schemas.microsoft.com/office/drawing/2014/main" id="{36ED763F-729F-4C2C-AD6D-EC9BC9941534}"/>
            </a:ext>
          </a:extLst>
        </xdr:cNvPr>
        <xdr:cNvSpPr/>
      </xdr:nvSpPr>
      <xdr:spPr>
        <a:xfrm>
          <a:off x="898398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56</xdr:col>
      <xdr:colOff>38100</xdr:colOff>
      <xdr:row>11</xdr:row>
      <xdr:rowOff>47625</xdr:rowOff>
    </xdr:from>
    <xdr:to>
      <xdr:col>56</xdr:col>
      <xdr:colOff>104775</xdr:colOff>
      <xdr:row>11</xdr:row>
      <xdr:rowOff>142875</xdr:rowOff>
    </xdr:to>
    <xdr:sp macro="" textlink="">
      <xdr:nvSpPr>
        <xdr:cNvPr id="52" name="Diagrama de flujo: conector 51">
          <a:extLst>
            <a:ext uri="{FF2B5EF4-FFF2-40B4-BE49-F238E27FC236}">
              <a16:creationId xmlns:a16="http://schemas.microsoft.com/office/drawing/2014/main" id="{9A184137-7119-4C54-879A-2BF50F081E16}"/>
            </a:ext>
          </a:extLst>
        </xdr:cNvPr>
        <xdr:cNvSpPr/>
      </xdr:nvSpPr>
      <xdr:spPr>
        <a:xfrm>
          <a:off x="912114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57</xdr:col>
      <xdr:colOff>38100</xdr:colOff>
      <xdr:row>11</xdr:row>
      <xdr:rowOff>47625</xdr:rowOff>
    </xdr:from>
    <xdr:to>
      <xdr:col>57</xdr:col>
      <xdr:colOff>104775</xdr:colOff>
      <xdr:row>11</xdr:row>
      <xdr:rowOff>142875</xdr:rowOff>
    </xdr:to>
    <xdr:sp macro="" textlink="">
      <xdr:nvSpPr>
        <xdr:cNvPr id="53" name="Diagrama de flujo: conector 52">
          <a:extLst>
            <a:ext uri="{FF2B5EF4-FFF2-40B4-BE49-F238E27FC236}">
              <a16:creationId xmlns:a16="http://schemas.microsoft.com/office/drawing/2014/main" id="{9471E1DB-2358-4157-842E-E6AED34F3CD0}"/>
            </a:ext>
          </a:extLst>
        </xdr:cNvPr>
        <xdr:cNvSpPr/>
      </xdr:nvSpPr>
      <xdr:spPr>
        <a:xfrm>
          <a:off x="925830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58</xdr:col>
      <xdr:colOff>38100</xdr:colOff>
      <xdr:row>11</xdr:row>
      <xdr:rowOff>47625</xdr:rowOff>
    </xdr:from>
    <xdr:to>
      <xdr:col>58</xdr:col>
      <xdr:colOff>104775</xdr:colOff>
      <xdr:row>11</xdr:row>
      <xdr:rowOff>142875</xdr:rowOff>
    </xdr:to>
    <xdr:sp macro="" textlink="">
      <xdr:nvSpPr>
        <xdr:cNvPr id="54" name="Diagrama de flujo: conector 53">
          <a:extLst>
            <a:ext uri="{FF2B5EF4-FFF2-40B4-BE49-F238E27FC236}">
              <a16:creationId xmlns:a16="http://schemas.microsoft.com/office/drawing/2014/main" id="{2BCDA0ED-82AE-4B07-9B1F-3C1078A2C307}"/>
            </a:ext>
          </a:extLst>
        </xdr:cNvPr>
        <xdr:cNvSpPr/>
      </xdr:nvSpPr>
      <xdr:spPr>
        <a:xfrm>
          <a:off x="939546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51</xdr:col>
      <xdr:colOff>38100</xdr:colOff>
      <xdr:row>11</xdr:row>
      <xdr:rowOff>47625</xdr:rowOff>
    </xdr:from>
    <xdr:to>
      <xdr:col>51</xdr:col>
      <xdr:colOff>104775</xdr:colOff>
      <xdr:row>11</xdr:row>
      <xdr:rowOff>142875</xdr:rowOff>
    </xdr:to>
    <xdr:sp macro="" textlink="">
      <xdr:nvSpPr>
        <xdr:cNvPr id="55" name="Diagrama de flujo: conector 54">
          <a:extLst>
            <a:ext uri="{FF2B5EF4-FFF2-40B4-BE49-F238E27FC236}">
              <a16:creationId xmlns:a16="http://schemas.microsoft.com/office/drawing/2014/main" id="{0527A91F-54FB-49AA-91ED-5FFFC099137F}"/>
            </a:ext>
          </a:extLst>
        </xdr:cNvPr>
        <xdr:cNvSpPr/>
      </xdr:nvSpPr>
      <xdr:spPr>
        <a:xfrm>
          <a:off x="8435340" y="2562225"/>
          <a:ext cx="66675" cy="952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0</xdr:col>
      <xdr:colOff>182880</xdr:colOff>
      <xdr:row>22</xdr:row>
      <xdr:rowOff>182880</xdr:rowOff>
    </xdr:from>
    <xdr:to>
      <xdr:col>1</xdr:col>
      <xdr:colOff>1463040</xdr:colOff>
      <xdr:row>29</xdr:row>
      <xdr:rowOff>147326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A53142EA-5DD9-0676-4031-7D0C04DAC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" y="5707380"/>
          <a:ext cx="1531620" cy="12522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9</xdr:row>
      <xdr:rowOff>38100</xdr:rowOff>
    </xdr:from>
    <xdr:to>
      <xdr:col>2</xdr:col>
      <xdr:colOff>276225</xdr:colOff>
      <xdr:row>9</xdr:row>
      <xdr:rowOff>142875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F44DD1F9-5D85-3483-1598-E1E3DD8CF0E5}"/>
            </a:ext>
          </a:extLst>
        </xdr:cNvPr>
        <xdr:cNvGrpSpPr/>
      </xdr:nvGrpSpPr>
      <xdr:grpSpPr>
        <a:xfrm>
          <a:off x="2143125" y="1762125"/>
          <a:ext cx="142875" cy="104775"/>
          <a:chOff x="5410200" y="1209675"/>
          <a:chExt cx="142875" cy="104775"/>
        </a:xfrm>
      </xdr:grpSpPr>
      <xdr:cxnSp macro="">
        <xdr:nvCxnSpPr>
          <xdr:cNvPr id="3" name="Conector recto 2">
            <a:extLst>
              <a:ext uri="{FF2B5EF4-FFF2-40B4-BE49-F238E27FC236}">
                <a16:creationId xmlns:a16="http://schemas.microsoft.com/office/drawing/2014/main" id="{80B07C91-0643-EFCA-ECE6-848AD43CF991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Conector recto 5">
            <a:extLst>
              <a:ext uri="{FF2B5EF4-FFF2-40B4-BE49-F238E27FC236}">
                <a16:creationId xmlns:a16="http://schemas.microsoft.com/office/drawing/2014/main" id="{C7C63C34-7CAA-6529-3772-9A51774E2DF1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209550</xdr:colOff>
      <xdr:row>14</xdr:row>
      <xdr:rowOff>47625</xdr:rowOff>
    </xdr:from>
    <xdr:to>
      <xdr:col>1</xdr:col>
      <xdr:colOff>352425</xdr:colOff>
      <xdr:row>14</xdr:row>
      <xdr:rowOff>152400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CD912111-141F-409A-8D72-66C7DBD8BE0A}"/>
            </a:ext>
          </a:extLst>
        </xdr:cNvPr>
        <xdr:cNvGrpSpPr/>
      </xdr:nvGrpSpPr>
      <xdr:grpSpPr>
        <a:xfrm>
          <a:off x="1676400" y="2724150"/>
          <a:ext cx="142875" cy="104775"/>
          <a:chOff x="5410200" y="1209675"/>
          <a:chExt cx="142875" cy="104775"/>
        </a:xfrm>
      </xdr:grpSpPr>
      <xdr:cxnSp macro="">
        <xdr:nvCxnSpPr>
          <xdr:cNvPr id="9" name="Conector recto 8">
            <a:extLst>
              <a:ext uri="{FF2B5EF4-FFF2-40B4-BE49-F238E27FC236}">
                <a16:creationId xmlns:a16="http://schemas.microsoft.com/office/drawing/2014/main" id="{5E00FB6D-E47E-8848-F728-C92194FA6421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Conector recto 9">
            <a:extLst>
              <a:ext uri="{FF2B5EF4-FFF2-40B4-BE49-F238E27FC236}">
                <a16:creationId xmlns:a16="http://schemas.microsoft.com/office/drawing/2014/main" id="{8E91C916-6589-A914-DAE2-4212F0019567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142875</xdr:colOff>
      <xdr:row>14</xdr:row>
      <xdr:rowOff>57150</xdr:rowOff>
    </xdr:from>
    <xdr:to>
      <xdr:col>2</xdr:col>
      <xdr:colOff>285750</xdr:colOff>
      <xdr:row>14</xdr:row>
      <xdr:rowOff>161925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8F0FB741-26F1-4C35-8E08-2CBCAAF0FE94}"/>
            </a:ext>
          </a:extLst>
        </xdr:cNvPr>
        <xdr:cNvGrpSpPr/>
      </xdr:nvGrpSpPr>
      <xdr:grpSpPr>
        <a:xfrm>
          <a:off x="2152650" y="2733675"/>
          <a:ext cx="142875" cy="104775"/>
          <a:chOff x="5410200" y="1209675"/>
          <a:chExt cx="142875" cy="104775"/>
        </a:xfrm>
      </xdr:grpSpPr>
      <xdr:cxnSp macro="">
        <xdr:nvCxnSpPr>
          <xdr:cNvPr id="12" name="Conector recto 11">
            <a:extLst>
              <a:ext uri="{FF2B5EF4-FFF2-40B4-BE49-F238E27FC236}">
                <a16:creationId xmlns:a16="http://schemas.microsoft.com/office/drawing/2014/main" id="{AEEE4754-9577-0B2A-F057-8FBD3C811E56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Conector recto 12">
            <a:extLst>
              <a:ext uri="{FF2B5EF4-FFF2-40B4-BE49-F238E27FC236}">
                <a16:creationId xmlns:a16="http://schemas.microsoft.com/office/drawing/2014/main" id="{FD183E5A-FB37-73FD-36FC-E6D44D78DD54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161925</xdr:colOff>
      <xdr:row>14</xdr:row>
      <xdr:rowOff>47625</xdr:rowOff>
    </xdr:from>
    <xdr:to>
      <xdr:col>3</xdr:col>
      <xdr:colOff>304800</xdr:colOff>
      <xdr:row>14</xdr:row>
      <xdr:rowOff>152400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EF215C9F-E4C3-450C-9618-5FD39D48B0EE}"/>
            </a:ext>
          </a:extLst>
        </xdr:cNvPr>
        <xdr:cNvGrpSpPr/>
      </xdr:nvGrpSpPr>
      <xdr:grpSpPr>
        <a:xfrm>
          <a:off x="2619375" y="2724150"/>
          <a:ext cx="142875" cy="104775"/>
          <a:chOff x="5410200" y="1209675"/>
          <a:chExt cx="142875" cy="104775"/>
        </a:xfrm>
      </xdr:grpSpPr>
      <xdr:cxnSp macro="">
        <xdr:nvCxnSpPr>
          <xdr:cNvPr id="15" name="Conector recto 14">
            <a:extLst>
              <a:ext uri="{FF2B5EF4-FFF2-40B4-BE49-F238E27FC236}">
                <a16:creationId xmlns:a16="http://schemas.microsoft.com/office/drawing/2014/main" id="{62D397CA-C22B-D8BA-7F69-D75008EE3DE5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ector recto 15">
            <a:extLst>
              <a:ext uri="{FF2B5EF4-FFF2-40B4-BE49-F238E27FC236}">
                <a16:creationId xmlns:a16="http://schemas.microsoft.com/office/drawing/2014/main" id="{8D7447D0-18FB-94C6-2D05-0AD20CD298C4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152400</xdr:colOff>
      <xdr:row>14</xdr:row>
      <xdr:rowOff>57150</xdr:rowOff>
    </xdr:from>
    <xdr:to>
      <xdr:col>4</xdr:col>
      <xdr:colOff>295275</xdr:colOff>
      <xdr:row>14</xdr:row>
      <xdr:rowOff>161925</xdr:rowOff>
    </xdr:to>
    <xdr:grpSp>
      <xdr:nvGrpSpPr>
        <xdr:cNvPr id="17" name="Grupo 16">
          <a:extLst>
            <a:ext uri="{FF2B5EF4-FFF2-40B4-BE49-F238E27FC236}">
              <a16:creationId xmlns:a16="http://schemas.microsoft.com/office/drawing/2014/main" id="{4B6327F3-0135-4932-912F-D6559632FC26}"/>
            </a:ext>
          </a:extLst>
        </xdr:cNvPr>
        <xdr:cNvGrpSpPr/>
      </xdr:nvGrpSpPr>
      <xdr:grpSpPr>
        <a:xfrm>
          <a:off x="3057525" y="2733675"/>
          <a:ext cx="142875" cy="104775"/>
          <a:chOff x="5410200" y="1209675"/>
          <a:chExt cx="142875" cy="104775"/>
        </a:xfrm>
      </xdr:grpSpPr>
      <xdr:cxnSp macro="">
        <xdr:nvCxnSpPr>
          <xdr:cNvPr id="18" name="Conector recto 17">
            <a:extLst>
              <a:ext uri="{FF2B5EF4-FFF2-40B4-BE49-F238E27FC236}">
                <a16:creationId xmlns:a16="http://schemas.microsoft.com/office/drawing/2014/main" id="{5AC3525E-3A93-4B06-7039-DE0C2BC8FE9A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Conector recto 18">
            <a:extLst>
              <a:ext uri="{FF2B5EF4-FFF2-40B4-BE49-F238E27FC236}">
                <a16:creationId xmlns:a16="http://schemas.microsoft.com/office/drawing/2014/main" id="{F6D44388-F9FC-52D1-9C26-9FA026EE77B8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152400</xdr:colOff>
      <xdr:row>14</xdr:row>
      <xdr:rowOff>47625</xdr:rowOff>
    </xdr:from>
    <xdr:to>
      <xdr:col>5</xdr:col>
      <xdr:colOff>295275</xdr:colOff>
      <xdr:row>14</xdr:row>
      <xdr:rowOff>152400</xdr:rowOff>
    </xdr:to>
    <xdr:grpSp>
      <xdr:nvGrpSpPr>
        <xdr:cNvPr id="20" name="Grupo 19">
          <a:extLst>
            <a:ext uri="{FF2B5EF4-FFF2-40B4-BE49-F238E27FC236}">
              <a16:creationId xmlns:a16="http://schemas.microsoft.com/office/drawing/2014/main" id="{B8F51A2F-B39C-442C-A278-255DC36A5B9F}"/>
            </a:ext>
          </a:extLst>
        </xdr:cNvPr>
        <xdr:cNvGrpSpPr/>
      </xdr:nvGrpSpPr>
      <xdr:grpSpPr>
        <a:xfrm>
          <a:off x="3505200" y="2724150"/>
          <a:ext cx="142875" cy="104775"/>
          <a:chOff x="5410200" y="1209675"/>
          <a:chExt cx="142875" cy="104775"/>
        </a:xfrm>
      </xdr:grpSpPr>
      <xdr:cxnSp macro="">
        <xdr:nvCxnSpPr>
          <xdr:cNvPr id="21" name="Conector recto 20">
            <a:extLst>
              <a:ext uri="{FF2B5EF4-FFF2-40B4-BE49-F238E27FC236}">
                <a16:creationId xmlns:a16="http://schemas.microsoft.com/office/drawing/2014/main" id="{48D49D5F-4F16-E622-BD8A-7D3955B72005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Conector recto 21">
            <a:extLst>
              <a:ext uri="{FF2B5EF4-FFF2-40B4-BE49-F238E27FC236}">
                <a16:creationId xmlns:a16="http://schemas.microsoft.com/office/drawing/2014/main" id="{CEB56A31-7DE2-44EF-151E-40F3B6693699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161925</xdr:colOff>
      <xdr:row>14</xdr:row>
      <xdr:rowOff>47625</xdr:rowOff>
    </xdr:from>
    <xdr:to>
      <xdr:col>6</xdr:col>
      <xdr:colOff>304800</xdr:colOff>
      <xdr:row>14</xdr:row>
      <xdr:rowOff>152400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B7296965-A8E5-4123-9CE0-E1F5222B4D8B}"/>
            </a:ext>
          </a:extLst>
        </xdr:cNvPr>
        <xdr:cNvGrpSpPr/>
      </xdr:nvGrpSpPr>
      <xdr:grpSpPr>
        <a:xfrm>
          <a:off x="3962400" y="2724150"/>
          <a:ext cx="142875" cy="104775"/>
          <a:chOff x="5410200" y="1209675"/>
          <a:chExt cx="142875" cy="104775"/>
        </a:xfrm>
      </xdr:grpSpPr>
      <xdr:cxnSp macro="">
        <xdr:nvCxnSpPr>
          <xdr:cNvPr id="24" name="Conector recto 23">
            <a:extLst>
              <a:ext uri="{FF2B5EF4-FFF2-40B4-BE49-F238E27FC236}">
                <a16:creationId xmlns:a16="http://schemas.microsoft.com/office/drawing/2014/main" id="{C29A6D8D-9D4C-F933-A0C8-6D6E7800849C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Conector recto 24">
            <a:extLst>
              <a:ext uri="{FF2B5EF4-FFF2-40B4-BE49-F238E27FC236}">
                <a16:creationId xmlns:a16="http://schemas.microsoft.com/office/drawing/2014/main" id="{6F59456F-2A99-2D69-0B7B-A3DC8B5438A0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190500</xdr:colOff>
      <xdr:row>16</xdr:row>
      <xdr:rowOff>57150</xdr:rowOff>
    </xdr:from>
    <xdr:to>
      <xdr:col>1</xdr:col>
      <xdr:colOff>333375</xdr:colOff>
      <xdr:row>16</xdr:row>
      <xdr:rowOff>161925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8619303A-A7D0-4260-B770-DD91B1E9C8AF}"/>
            </a:ext>
          </a:extLst>
        </xdr:cNvPr>
        <xdr:cNvGrpSpPr/>
      </xdr:nvGrpSpPr>
      <xdr:grpSpPr>
        <a:xfrm>
          <a:off x="1657350" y="3114675"/>
          <a:ext cx="142875" cy="104775"/>
          <a:chOff x="5410200" y="1209675"/>
          <a:chExt cx="142875" cy="104775"/>
        </a:xfrm>
      </xdr:grpSpPr>
      <xdr:cxnSp macro="">
        <xdr:nvCxnSpPr>
          <xdr:cNvPr id="27" name="Conector recto 26">
            <a:extLst>
              <a:ext uri="{FF2B5EF4-FFF2-40B4-BE49-F238E27FC236}">
                <a16:creationId xmlns:a16="http://schemas.microsoft.com/office/drawing/2014/main" id="{C7D9EE0F-8389-F474-FFA1-EEBE4AEC5832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Conector recto 27">
            <a:extLst>
              <a:ext uri="{FF2B5EF4-FFF2-40B4-BE49-F238E27FC236}">
                <a16:creationId xmlns:a16="http://schemas.microsoft.com/office/drawing/2014/main" id="{91B06C2E-7ABD-5A41-CEEE-8A2F629ADDD7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190500</xdr:colOff>
      <xdr:row>18</xdr:row>
      <xdr:rowOff>28575</xdr:rowOff>
    </xdr:from>
    <xdr:to>
      <xdr:col>1</xdr:col>
      <xdr:colOff>333375</xdr:colOff>
      <xdr:row>18</xdr:row>
      <xdr:rowOff>133350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id="{95A3C4EA-E90F-4E17-AD6D-181C5C44329F}"/>
            </a:ext>
          </a:extLst>
        </xdr:cNvPr>
        <xdr:cNvGrpSpPr/>
      </xdr:nvGrpSpPr>
      <xdr:grpSpPr>
        <a:xfrm>
          <a:off x="1657350" y="3467100"/>
          <a:ext cx="142875" cy="104775"/>
          <a:chOff x="5410200" y="1209675"/>
          <a:chExt cx="142875" cy="104775"/>
        </a:xfrm>
      </xdr:grpSpPr>
      <xdr:cxnSp macro="">
        <xdr:nvCxnSpPr>
          <xdr:cNvPr id="30" name="Conector recto 29">
            <a:extLst>
              <a:ext uri="{FF2B5EF4-FFF2-40B4-BE49-F238E27FC236}">
                <a16:creationId xmlns:a16="http://schemas.microsoft.com/office/drawing/2014/main" id="{6B65BE68-3772-255F-A4A4-201700C60DCB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Conector recto 30">
            <a:extLst>
              <a:ext uri="{FF2B5EF4-FFF2-40B4-BE49-F238E27FC236}">
                <a16:creationId xmlns:a16="http://schemas.microsoft.com/office/drawing/2014/main" id="{0F591E07-506E-8346-8A35-12441FA69E60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190500</xdr:colOff>
      <xdr:row>17</xdr:row>
      <xdr:rowOff>38100</xdr:rowOff>
    </xdr:from>
    <xdr:to>
      <xdr:col>1</xdr:col>
      <xdr:colOff>333375</xdr:colOff>
      <xdr:row>17</xdr:row>
      <xdr:rowOff>142875</xdr:rowOff>
    </xdr:to>
    <xdr:grpSp>
      <xdr:nvGrpSpPr>
        <xdr:cNvPr id="32" name="Grupo 31">
          <a:extLst>
            <a:ext uri="{FF2B5EF4-FFF2-40B4-BE49-F238E27FC236}">
              <a16:creationId xmlns:a16="http://schemas.microsoft.com/office/drawing/2014/main" id="{44528CFF-6123-4A6D-BF3C-E42ECADA4443}"/>
            </a:ext>
          </a:extLst>
        </xdr:cNvPr>
        <xdr:cNvGrpSpPr/>
      </xdr:nvGrpSpPr>
      <xdr:grpSpPr>
        <a:xfrm>
          <a:off x="1657350" y="3286125"/>
          <a:ext cx="142875" cy="104775"/>
          <a:chOff x="5410200" y="1209675"/>
          <a:chExt cx="142875" cy="104775"/>
        </a:xfrm>
      </xdr:grpSpPr>
      <xdr:cxnSp macro="">
        <xdr:nvCxnSpPr>
          <xdr:cNvPr id="33" name="Conector recto 32">
            <a:extLst>
              <a:ext uri="{FF2B5EF4-FFF2-40B4-BE49-F238E27FC236}">
                <a16:creationId xmlns:a16="http://schemas.microsoft.com/office/drawing/2014/main" id="{A9FB5A0D-1FF7-1ACA-ED06-27AB8688184E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Conector recto 33">
            <a:extLst>
              <a:ext uri="{FF2B5EF4-FFF2-40B4-BE49-F238E27FC236}">
                <a16:creationId xmlns:a16="http://schemas.microsoft.com/office/drawing/2014/main" id="{4E350FF1-83ED-985C-E38F-5C89EB78E13A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152400</xdr:colOff>
      <xdr:row>15</xdr:row>
      <xdr:rowOff>47625</xdr:rowOff>
    </xdr:from>
    <xdr:to>
      <xdr:col>2</xdr:col>
      <xdr:colOff>295275</xdr:colOff>
      <xdr:row>15</xdr:row>
      <xdr:rowOff>152400</xdr:rowOff>
    </xdr:to>
    <xdr:grpSp>
      <xdr:nvGrpSpPr>
        <xdr:cNvPr id="44" name="Grupo 43">
          <a:extLst>
            <a:ext uri="{FF2B5EF4-FFF2-40B4-BE49-F238E27FC236}">
              <a16:creationId xmlns:a16="http://schemas.microsoft.com/office/drawing/2014/main" id="{D46EB26A-4816-4F62-AF37-282227376B50}"/>
            </a:ext>
          </a:extLst>
        </xdr:cNvPr>
        <xdr:cNvGrpSpPr/>
      </xdr:nvGrpSpPr>
      <xdr:grpSpPr>
        <a:xfrm>
          <a:off x="2162175" y="2914650"/>
          <a:ext cx="142875" cy="104775"/>
          <a:chOff x="5410200" y="1209675"/>
          <a:chExt cx="142875" cy="104775"/>
        </a:xfrm>
      </xdr:grpSpPr>
      <xdr:cxnSp macro="">
        <xdr:nvCxnSpPr>
          <xdr:cNvPr id="45" name="Conector recto 44">
            <a:extLst>
              <a:ext uri="{FF2B5EF4-FFF2-40B4-BE49-F238E27FC236}">
                <a16:creationId xmlns:a16="http://schemas.microsoft.com/office/drawing/2014/main" id="{167C920F-EFE1-B202-0A23-EFEF29382B2A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Conector recto 45">
            <a:extLst>
              <a:ext uri="{FF2B5EF4-FFF2-40B4-BE49-F238E27FC236}">
                <a16:creationId xmlns:a16="http://schemas.microsoft.com/office/drawing/2014/main" id="{0920B561-5646-B161-B57D-ADB097D4E64E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161925</xdr:colOff>
      <xdr:row>15</xdr:row>
      <xdr:rowOff>47625</xdr:rowOff>
    </xdr:from>
    <xdr:to>
      <xdr:col>3</xdr:col>
      <xdr:colOff>304800</xdr:colOff>
      <xdr:row>15</xdr:row>
      <xdr:rowOff>152400</xdr:rowOff>
    </xdr:to>
    <xdr:grpSp>
      <xdr:nvGrpSpPr>
        <xdr:cNvPr id="47" name="Grupo 46">
          <a:extLst>
            <a:ext uri="{FF2B5EF4-FFF2-40B4-BE49-F238E27FC236}">
              <a16:creationId xmlns:a16="http://schemas.microsoft.com/office/drawing/2014/main" id="{CA2D0C42-6061-46FD-8F55-EC93F7371578}"/>
            </a:ext>
          </a:extLst>
        </xdr:cNvPr>
        <xdr:cNvGrpSpPr/>
      </xdr:nvGrpSpPr>
      <xdr:grpSpPr>
        <a:xfrm>
          <a:off x="2619375" y="2914650"/>
          <a:ext cx="142875" cy="104775"/>
          <a:chOff x="5410200" y="1209675"/>
          <a:chExt cx="142875" cy="104775"/>
        </a:xfrm>
      </xdr:grpSpPr>
      <xdr:cxnSp macro="">
        <xdr:nvCxnSpPr>
          <xdr:cNvPr id="48" name="Conector recto 47">
            <a:extLst>
              <a:ext uri="{FF2B5EF4-FFF2-40B4-BE49-F238E27FC236}">
                <a16:creationId xmlns:a16="http://schemas.microsoft.com/office/drawing/2014/main" id="{6963F165-539A-F445-DC8A-7B7CDCCA599A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Conector recto 48">
            <a:extLst>
              <a:ext uri="{FF2B5EF4-FFF2-40B4-BE49-F238E27FC236}">
                <a16:creationId xmlns:a16="http://schemas.microsoft.com/office/drawing/2014/main" id="{1C2179EC-7268-1457-E5AE-6657F629A80B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152400</xdr:colOff>
      <xdr:row>15</xdr:row>
      <xdr:rowOff>38100</xdr:rowOff>
    </xdr:from>
    <xdr:to>
      <xdr:col>4</xdr:col>
      <xdr:colOff>295275</xdr:colOff>
      <xdr:row>15</xdr:row>
      <xdr:rowOff>142875</xdr:rowOff>
    </xdr:to>
    <xdr:grpSp>
      <xdr:nvGrpSpPr>
        <xdr:cNvPr id="50" name="Grupo 49">
          <a:extLst>
            <a:ext uri="{FF2B5EF4-FFF2-40B4-BE49-F238E27FC236}">
              <a16:creationId xmlns:a16="http://schemas.microsoft.com/office/drawing/2014/main" id="{2512A005-30DD-40DA-8E4F-4B0B1DE1D732}"/>
            </a:ext>
          </a:extLst>
        </xdr:cNvPr>
        <xdr:cNvGrpSpPr/>
      </xdr:nvGrpSpPr>
      <xdr:grpSpPr>
        <a:xfrm>
          <a:off x="3057525" y="2905125"/>
          <a:ext cx="142875" cy="104775"/>
          <a:chOff x="5410200" y="1209675"/>
          <a:chExt cx="142875" cy="104775"/>
        </a:xfrm>
      </xdr:grpSpPr>
      <xdr:cxnSp macro="">
        <xdr:nvCxnSpPr>
          <xdr:cNvPr id="51" name="Conector recto 50">
            <a:extLst>
              <a:ext uri="{FF2B5EF4-FFF2-40B4-BE49-F238E27FC236}">
                <a16:creationId xmlns:a16="http://schemas.microsoft.com/office/drawing/2014/main" id="{C79F0EA9-5F58-8648-A4B0-BF94FB872D6F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Conector recto 51">
            <a:extLst>
              <a:ext uri="{FF2B5EF4-FFF2-40B4-BE49-F238E27FC236}">
                <a16:creationId xmlns:a16="http://schemas.microsoft.com/office/drawing/2014/main" id="{D8C174EC-2090-2839-7951-E8035BC4911D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142875</xdr:colOff>
      <xdr:row>15</xdr:row>
      <xdr:rowOff>28575</xdr:rowOff>
    </xdr:from>
    <xdr:to>
      <xdr:col>5</xdr:col>
      <xdr:colOff>285750</xdr:colOff>
      <xdr:row>15</xdr:row>
      <xdr:rowOff>133350</xdr:rowOff>
    </xdr:to>
    <xdr:grpSp>
      <xdr:nvGrpSpPr>
        <xdr:cNvPr id="53" name="Grupo 52">
          <a:extLst>
            <a:ext uri="{FF2B5EF4-FFF2-40B4-BE49-F238E27FC236}">
              <a16:creationId xmlns:a16="http://schemas.microsoft.com/office/drawing/2014/main" id="{845C4528-8653-4301-AE5C-CA43C5A9160D}"/>
            </a:ext>
          </a:extLst>
        </xdr:cNvPr>
        <xdr:cNvGrpSpPr/>
      </xdr:nvGrpSpPr>
      <xdr:grpSpPr>
        <a:xfrm>
          <a:off x="3495675" y="2895600"/>
          <a:ext cx="142875" cy="104775"/>
          <a:chOff x="5410200" y="1209675"/>
          <a:chExt cx="142875" cy="104775"/>
        </a:xfrm>
      </xdr:grpSpPr>
      <xdr:cxnSp macro="">
        <xdr:nvCxnSpPr>
          <xdr:cNvPr id="54" name="Conector recto 53">
            <a:extLst>
              <a:ext uri="{FF2B5EF4-FFF2-40B4-BE49-F238E27FC236}">
                <a16:creationId xmlns:a16="http://schemas.microsoft.com/office/drawing/2014/main" id="{C774E3B8-D4F2-840F-BCC8-E105FC13BA76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Conector recto 54">
            <a:extLst>
              <a:ext uri="{FF2B5EF4-FFF2-40B4-BE49-F238E27FC236}">
                <a16:creationId xmlns:a16="http://schemas.microsoft.com/office/drawing/2014/main" id="{499CAC5F-BE24-44C3-FE5E-C1A207B33D1C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152400</xdr:colOff>
      <xdr:row>15</xdr:row>
      <xdr:rowOff>19050</xdr:rowOff>
    </xdr:from>
    <xdr:to>
      <xdr:col>6</xdr:col>
      <xdr:colOff>295275</xdr:colOff>
      <xdr:row>15</xdr:row>
      <xdr:rowOff>123825</xdr:rowOff>
    </xdr:to>
    <xdr:grpSp>
      <xdr:nvGrpSpPr>
        <xdr:cNvPr id="56" name="Grupo 55">
          <a:extLst>
            <a:ext uri="{FF2B5EF4-FFF2-40B4-BE49-F238E27FC236}">
              <a16:creationId xmlns:a16="http://schemas.microsoft.com/office/drawing/2014/main" id="{D550EA01-2B11-460D-A67E-BF529112589A}"/>
            </a:ext>
          </a:extLst>
        </xdr:cNvPr>
        <xdr:cNvGrpSpPr/>
      </xdr:nvGrpSpPr>
      <xdr:grpSpPr>
        <a:xfrm>
          <a:off x="3952875" y="2886075"/>
          <a:ext cx="142875" cy="104775"/>
          <a:chOff x="5410200" y="1209675"/>
          <a:chExt cx="142875" cy="104775"/>
        </a:xfrm>
      </xdr:grpSpPr>
      <xdr:cxnSp macro="">
        <xdr:nvCxnSpPr>
          <xdr:cNvPr id="57" name="Conector recto 56">
            <a:extLst>
              <a:ext uri="{FF2B5EF4-FFF2-40B4-BE49-F238E27FC236}">
                <a16:creationId xmlns:a16="http://schemas.microsoft.com/office/drawing/2014/main" id="{51163FF6-8D43-9061-A4DE-54DFB1B5171F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Conector recto 57">
            <a:extLst>
              <a:ext uri="{FF2B5EF4-FFF2-40B4-BE49-F238E27FC236}">
                <a16:creationId xmlns:a16="http://schemas.microsoft.com/office/drawing/2014/main" id="{C3CD91A7-E14C-4952-5BE9-21A5E7C299A0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161925</xdr:colOff>
      <xdr:row>16</xdr:row>
      <xdr:rowOff>47625</xdr:rowOff>
    </xdr:from>
    <xdr:to>
      <xdr:col>2</xdr:col>
      <xdr:colOff>304800</xdr:colOff>
      <xdr:row>16</xdr:row>
      <xdr:rowOff>152400</xdr:rowOff>
    </xdr:to>
    <xdr:grpSp>
      <xdr:nvGrpSpPr>
        <xdr:cNvPr id="59" name="Grupo 58">
          <a:extLst>
            <a:ext uri="{FF2B5EF4-FFF2-40B4-BE49-F238E27FC236}">
              <a16:creationId xmlns:a16="http://schemas.microsoft.com/office/drawing/2014/main" id="{D1EAB123-9830-4166-9459-B4AA19E31C87}"/>
            </a:ext>
          </a:extLst>
        </xdr:cNvPr>
        <xdr:cNvGrpSpPr/>
      </xdr:nvGrpSpPr>
      <xdr:grpSpPr>
        <a:xfrm>
          <a:off x="2171700" y="3105150"/>
          <a:ext cx="142875" cy="104775"/>
          <a:chOff x="5410200" y="1209675"/>
          <a:chExt cx="142875" cy="104775"/>
        </a:xfrm>
      </xdr:grpSpPr>
      <xdr:cxnSp macro="">
        <xdr:nvCxnSpPr>
          <xdr:cNvPr id="60" name="Conector recto 59">
            <a:extLst>
              <a:ext uri="{FF2B5EF4-FFF2-40B4-BE49-F238E27FC236}">
                <a16:creationId xmlns:a16="http://schemas.microsoft.com/office/drawing/2014/main" id="{4E9072C1-5F93-F11E-32A5-EE4E066A8447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Conector recto 60">
            <a:extLst>
              <a:ext uri="{FF2B5EF4-FFF2-40B4-BE49-F238E27FC236}">
                <a16:creationId xmlns:a16="http://schemas.microsoft.com/office/drawing/2014/main" id="{2CC566DE-1EE7-C977-C4A8-C85EF9D61DB1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142875</xdr:colOff>
      <xdr:row>16</xdr:row>
      <xdr:rowOff>38100</xdr:rowOff>
    </xdr:from>
    <xdr:to>
      <xdr:col>3</xdr:col>
      <xdr:colOff>285750</xdr:colOff>
      <xdr:row>16</xdr:row>
      <xdr:rowOff>142875</xdr:rowOff>
    </xdr:to>
    <xdr:grpSp>
      <xdr:nvGrpSpPr>
        <xdr:cNvPr id="62" name="Grupo 61">
          <a:extLst>
            <a:ext uri="{FF2B5EF4-FFF2-40B4-BE49-F238E27FC236}">
              <a16:creationId xmlns:a16="http://schemas.microsoft.com/office/drawing/2014/main" id="{F3B4085E-336C-4297-80C2-0D86670DA9BC}"/>
            </a:ext>
          </a:extLst>
        </xdr:cNvPr>
        <xdr:cNvGrpSpPr/>
      </xdr:nvGrpSpPr>
      <xdr:grpSpPr>
        <a:xfrm>
          <a:off x="2600325" y="3095625"/>
          <a:ext cx="142875" cy="104775"/>
          <a:chOff x="5410200" y="1209675"/>
          <a:chExt cx="142875" cy="104775"/>
        </a:xfrm>
      </xdr:grpSpPr>
      <xdr:cxnSp macro="">
        <xdr:nvCxnSpPr>
          <xdr:cNvPr id="63" name="Conector recto 62">
            <a:extLst>
              <a:ext uri="{FF2B5EF4-FFF2-40B4-BE49-F238E27FC236}">
                <a16:creationId xmlns:a16="http://schemas.microsoft.com/office/drawing/2014/main" id="{F6B71FB7-DA14-1572-007E-C0E979DCA9C4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Conector recto 63">
            <a:extLst>
              <a:ext uri="{FF2B5EF4-FFF2-40B4-BE49-F238E27FC236}">
                <a16:creationId xmlns:a16="http://schemas.microsoft.com/office/drawing/2014/main" id="{09B9C345-AECF-96AE-03A1-AC0F4EFA3A96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142875</xdr:colOff>
      <xdr:row>16</xdr:row>
      <xdr:rowOff>47625</xdr:rowOff>
    </xdr:from>
    <xdr:to>
      <xdr:col>4</xdr:col>
      <xdr:colOff>285750</xdr:colOff>
      <xdr:row>16</xdr:row>
      <xdr:rowOff>152400</xdr:rowOff>
    </xdr:to>
    <xdr:grpSp>
      <xdr:nvGrpSpPr>
        <xdr:cNvPr id="65" name="Grupo 64">
          <a:extLst>
            <a:ext uri="{FF2B5EF4-FFF2-40B4-BE49-F238E27FC236}">
              <a16:creationId xmlns:a16="http://schemas.microsoft.com/office/drawing/2014/main" id="{42734F29-6E1B-4B0C-82FE-310C2DBC6361}"/>
            </a:ext>
          </a:extLst>
        </xdr:cNvPr>
        <xdr:cNvGrpSpPr/>
      </xdr:nvGrpSpPr>
      <xdr:grpSpPr>
        <a:xfrm>
          <a:off x="3048000" y="3105150"/>
          <a:ext cx="142875" cy="104775"/>
          <a:chOff x="5410200" y="1209675"/>
          <a:chExt cx="142875" cy="104775"/>
        </a:xfrm>
      </xdr:grpSpPr>
      <xdr:cxnSp macro="">
        <xdr:nvCxnSpPr>
          <xdr:cNvPr id="66" name="Conector recto 65">
            <a:extLst>
              <a:ext uri="{FF2B5EF4-FFF2-40B4-BE49-F238E27FC236}">
                <a16:creationId xmlns:a16="http://schemas.microsoft.com/office/drawing/2014/main" id="{BD001C60-2E32-70A2-1AEB-469EF15D2018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Conector recto 66">
            <a:extLst>
              <a:ext uri="{FF2B5EF4-FFF2-40B4-BE49-F238E27FC236}">
                <a16:creationId xmlns:a16="http://schemas.microsoft.com/office/drawing/2014/main" id="{AC568A1B-7C68-3AAB-015F-1A41BDEB5D0B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142875</xdr:colOff>
      <xdr:row>16</xdr:row>
      <xdr:rowOff>47625</xdr:rowOff>
    </xdr:from>
    <xdr:to>
      <xdr:col>5</xdr:col>
      <xdr:colOff>285750</xdr:colOff>
      <xdr:row>16</xdr:row>
      <xdr:rowOff>152400</xdr:rowOff>
    </xdr:to>
    <xdr:grpSp>
      <xdr:nvGrpSpPr>
        <xdr:cNvPr id="68" name="Grupo 67">
          <a:extLst>
            <a:ext uri="{FF2B5EF4-FFF2-40B4-BE49-F238E27FC236}">
              <a16:creationId xmlns:a16="http://schemas.microsoft.com/office/drawing/2014/main" id="{93231A0A-BC4F-4E5D-98FE-99FBAD92CC4D}"/>
            </a:ext>
          </a:extLst>
        </xdr:cNvPr>
        <xdr:cNvGrpSpPr/>
      </xdr:nvGrpSpPr>
      <xdr:grpSpPr>
        <a:xfrm>
          <a:off x="3495675" y="3105150"/>
          <a:ext cx="142875" cy="104775"/>
          <a:chOff x="5410200" y="1209675"/>
          <a:chExt cx="142875" cy="104775"/>
        </a:xfrm>
      </xdr:grpSpPr>
      <xdr:cxnSp macro="">
        <xdr:nvCxnSpPr>
          <xdr:cNvPr id="69" name="Conector recto 68">
            <a:extLst>
              <a:ext uri="{FF2B5EF4-FFF2-40B4-BE49-F238E27FC236}">
                <a16:creationId xmlns:a16="http://schemas.microsoft.com/office/drawing/2014/main" id="{94F794BB-76E2-B5B8-1F63-CE30D606299B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" name="Conector recto 69">
            <a:extLst>
              <a:ext uri="{FF2B5EF4-FFF2-40B4-BE49-F238E27FC236}">
                <a16:creationId xmlns:a16="http://schemas.microsoft.com/office/drawing/2014/main" id="{E6D10BBC-31D9-06E0-A9D4-5A7D9D3ABFC0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161925</xdr:colOff>
      <xdr:row>16</xdr:row>
      <xdr:rowOff>47625</xdr:rowOff>
    </xdr:from>
    <xdr:to>
      <xdr:col>6</xdr:col>
      <xdr:colOff>304800</xdr:colOff>
      <xdr:row>16</xdr:row>
      <xdr:rowOff>152400</xdr:rowOff>
    </xdr:to>
    <xdr:grpSp>
      <xdr:nvGrpSpPr>
        <xdr:cNvPr id="71" name="Grupo 70">
          <a:extLst>
            <a:ext uri="{FF2B5EF4-FFF2-40B4-BE49-F238E27FC236}">
              <a16:creationId xmlns:a16="http://schemas.microsoft.com/office/drawing/2014/main" id="{681E6CE6-33FC-48B9-BA1E-A0EEBF8FA20C}"/>
            </a:ext>
          </a:extLst>
        </xdr:cNvPr>
        <xdr:cNvGrpSpPr/>
      </xdr:nvGrpSpPr>
      <xdr:grpSpPr>
        <a:xfrm>
          <a:off x="3962400" y="3105150"/>
          <a:ext cx="142875" cy="104775"/>
          <a:chOff x="5410200" y="1209675"/>
          <a:chExt cx="142875" cy="104775"/>
        </a:xfrm>
      </xdr:grpSpPr>
      <xdr:cxnSp macro="">
        <xdr:nvCxnSpPr>
          <xdr:cNvPr id="72" name="Conector recto 71">
            <a:extLst>
              <a:ext uri="{FF2B5EF4-FFF2-40B4-BE49-F238E27FC236}">
                <a16:creationId xmlns:a16="http://schemas.microsoft.com/office/drawing/2014/main" id="{899EC4D3-5074-F8C5-74DC-7C06810466E4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Conector recto 72">
            <a:extLst>
              <a:ext uri="{FF2B5EF4-FFF2-40B4-BE49-F238E27FC236}">
                <a16:creationId xmlns:a16="http://schemas.microsoft.com/office/drawing/2014/main" id="{8EB0B4ED-CD9F-B578-12BE-5F7DCFF8C0B5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161925</xdr:colOff>
      <xdr:row>17</xdr:row>
      <xdr:rowOff>38100</xdr:rowOff>
    </xdr:from>
    <xdr:to>
      <xdr:col>2</xdr:col>
      <xdr:colOff>304800</xdr:colOff>
      <xdr:row>17</xdr:row>
      <xdr:rowOff>142875</xdr:rowOff>
    </xdr:to>
    <xdr:grpSp>
      <xdr:nvGrpSpPr>
        <xdr:cNvPr id="89" name="Grupo 88">
          <a:extLst>
            <a:ext uri="{FF2B5EF4-FFF2-40B4-BE49-F238E27FC236}">
              <a16:creationId xmlns:a16="http://schemas.microsoft.com/office/drawing/2014/main" id="{0537B95E-107C-4260-80E9-A326E4385DC2}"/>
            </a:ext>
          </a:extLst>
        </xdr:cNvPr>
        <xdr:cNvGrpSpPr/>
      </xdr:nvGrpSpPr>
      <xdr:grpSpPr>
        <a:xfrm>
          <a:off x="2171700" y="3286125"/>
          <a:ext cx="142875" cy="104775"/>
          <a:chOff x="5410200" y="1209675"/>
          <a:chExt cx="142875" cy="104775"/>
        </a:xfrm>
      </xdr:grpSpPr>
      <xdr:cxnSp macro="">
        <xdr:nvCxnSpPr>
          <xdr:cNvPr id="90" name="Conector recto 89">
            <a:extLst>
              <a:ext uri="{FF2B5EF4-FFF2-40B4-BE49-F238E27FC236}">
                <a16:creationId xmlns:a16="http://schemas.microsoft.com/office/drawing/2014/main" id="{9E9E968C-C9D2-330A-2DF5-CD8F574E9428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" name="Conector recto 90">
            <a:extLst>
              <a:ext uri="{FF2B5EF4-FFF2-40B4-BE49-F238E27FC236}">
                <a16:creationId xmlns:a16="http://schemas.microsoft.com/office/drawing/2014/main" id="{62E5A555-E33B-9559-082C-9EF25728D6EF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142875</xdr:colOff>
      <xdr:row>17</xdr:row>
      <xdr:rowOff>28575</xdr:rowOff>
    </xdr:from>
    <xdr:to>
      <xdr:col>3</xdr:col>
      <xdr:colOff>285750</xdr:colOff>
      <xdr:row>17</xdr:row>
      <xdr:rowOff>133350</xdr:rowOff>
    </xdr:to>
    <xdr:grpSp>
      <xdr:nvGrpSpPr>
        <xdr:cNvPr id="92" name="Grupo 91">
          <a:extLst>
            <a:ext uri="{FF2B5EF4-FFF2-40B4-BE49-F238E27FC236}">
              <a16:creationId xmlns:a16="http://schemas.microsoft.com/office/drawing/2014/main" id="{FD91B0B4-2032-41E8-B042-0CE10F7B0D67}"/>
            </a:ext>
          </a:extLst>
        </xdr:cNvPr>
        <xdr:cNvGrpSpPr/>
      </xdr:nvGrpSpPr>
      <xdr:grpSpPr>
        <a:xfrm>
          <a:off x="2600325" y="3276600"/>
          <a:ext cx="142875" cy="104775"/>
          <a:chOff x="5410200" y="1209675"/>
          <a:chExt cx="142875" cy="104775"/>
        </a:xfrm>
      </xdr:grpSpPr>
      <xdr:cxnSp macro="">
        <xdr:nvCxnSpPr>
          <xdr:cNvPr id="93" name="Conector recto 92">
            <a:extLst>
              <a:ext uri="{FF2B5EF4-FFF2-40B4-BE49-F238E27FC236}">
                <a16:creationId xmlns:a16="http://schemas.microsoft.com/office/drawing/2014/main" id="{ED7C8547-9C4C-4924-571C-C0A59CB53FBF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4" name="Conector recto 93">
            <a:extLst>
              <a:ext uri="{FF2B5EF4-FFF2-40B4-BE49-F238E27FC236}">
                <a16:creationId xmlns:a16="http://schemas.microsoft.com/office/drawing/2014/main" id="{36E5E9F9-F1BD-7385-A92A-59F4CA6CB8ED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142875</xdr:colOff>
      <xdr:row>17</xdr:row>
      <xdr:rowOff>38100</xdr:rowOff>
    </xdr:from>
    <xdr:to>
      <xdr:col>4</xdr:col>
      <xdr:colOff>285750</xdr:colOff>
      <xdr:row>17</xdr:row>
      <xdr:rowOff>142875</xdr:rowOff>
    </xdr:to>
    <xdr:grpSp>
      <xdr:nvGrpSpPr>
        <xdr:cNvPr id="95" name="Grupo 94">
          <a:extLst>
            <a:ext uri="{FF2B5EF4-FFF2-40B4-BE49-F238E27FC236}">
              <a16:creationId xmlns:a16="http://schemas.microsoft.com/office/drawing/2014/main" id="{B2B5CC67-D934-424B-8834-C6FABF377D46}"/>
            </a:ext>
          </a:extLst>
        </xdr:cNvPr>
        <xdr:cNvGrpSpPr/>
      </xdr:nvGrpSpPr>
      <xdr:grpSpPr>
        <a:xfrm>
          <a:off x="3048000" y="3286125"/>
          <a:ext cx="142875" cy="104775"/>
          <a:chOff x="5410200" y="1209675"/>
          <a:chExt cx="142875" cy="104775"/>
        </a:xfrm>
      </xdr:grpSpPr>
      <xdr:cxnSp macro="">
        <xdr:nvCxnSpPr>
          <xdr:cNvPr id="96" name="Conector recto 95">
            <a:extLst>
              <a:ext uri="{FF2B5EF4-FFF2-40B4-BE49-F238E27FC236}">
                <a16:creationId xmlns:a16="http://schemas.microsoft.com/office/drawing/2014/main" id="{66FFED9B-875C-7438-7D30-F169C9ABA734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" name="Conector recto 96">
            <a:extLst>
              <a:ext uri="{FF2B5EF4-FFF2-40B4-BE49-F238E27FC236}">
                <a16:creationId xmlns:a16="http://schemas.microsoft.com/office/drawing/2014/main" id="{AFF826F9-4A47-29A7-579F-DED0AE82DEDC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142875</xdr:colOff>
      <xdr:row>17</xdr:row>
      <xdr:rowOff>38100</xdr:rowOff>
    </xdr:from>
    <xdr:to>
      <xdr:col>5</xdr:col>
      <xdr:colOff>285750</xdr:colOff>
      <xdr:row>17</xdr:row>
      <xdr:rowOff>142875</xdr:rowOff>
    </xdr:to>
    <xdr:grpSp>
      <xdr:nvGrpSpPr>
        <xdr:cNvPr id="98" name="Grupo 97">
          <a:extLst>
            <a:ext uri="{FF2B5EF4-FFF2-40B4-BE49-F238E27FC236}">
              <a16:creationId xmlns:a16="http://schemas.microsoft.com/office/drawing/2014/main" id="{5B88A956-0FCB-42F9-B4B7-CB53D4CFFB08}"/>
            </a:ext>
          </a:extLst>
        </xdr:cNvPr>
        <xdr:cNvGrpSpPr/>
      </xdr:nvGrpSpPr>
      <xdr:grpSpPr>
        <a:xfrm>
          <a:off x="3495675" y="3286125"/>
          <a:ext cx="142875" cy="104775"/>
          <a:chOff x="5410200" y="1209675"/>
          <a:chExt cx="142875" cy="104775"/>
        </a:xfrm>
      </xdr:grpSpPr>
      <xdr:cxnSp macro="">
        <xdr:nvCxnSpPr>
          <xdr:cNvPr id="99" name="Conector recto 98">
            <a:extLst>
              <a:ext uri="{FF2B5EF4-FFF2-40B4-BE49-F238E27FC236}">
                <a16:creationId xmlns:a16="http://schemas.microsoft.com/office/drawing/2014/main" id="{BFA0056E-0436-2A04-2901-855EA12076EC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Conector recto 99">
            <a:extLst>
              <a:ext uri="{FF2B5EF4-FFF2-40B4-BE49-F238E27FC236}">
                <a16:creationId xmlns:a16="http://schemas.microsoft.com/office/drawing/2014/main" id="{74D41FF6-7FEE-5BD2-ECCD-F4F8E4D9D664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161925</xdr:colOff>
      <xdr:row>17</xdr:row>
      <xdr:rowOff>38100</xdr:rowOff>
    </xdr:from>
    <xdr:to>
      <xdr:col>6</xdr:col>
      <xdr:colOff>304800</xdr:colOff>
      <xdr:row>17</xdr:row>
      <xdr:rowOff>142875</xdr:rowOff>
    </xdr:to>
    <xdr:grpSp>
      <xdr:nvGrpSpPr>
        <xdr:cNvPr id="101" name="Grupo 100">
          <a:extLst>
            <a:ext uri="{FF2B5EF4-FFF2-40B4-BE49-F238E27FC236}">
              <a16:creationId xmlns:a16="http://schemas.microsoft.com/office/drawing/2014/main" id="{A9477FBF-5D75-4A6F-A1C2-71A7E7E45010}"/>
            </a:ext>
          </a:extLst>
        </xdr:cNvPr>
        <xdr:cNvGrpSpPr/>
      </xdr:nvGrpSpPr>
      <xdr:grpSpPr>
        <a:xfrm>
          <a:off x="3962400" y="3286125"/>
          <a:ext cx="142875" cy="104775"/>
          <a:chOff x="5410200" y="1209675"/>
          <a:chExt cx="142875" cy="104775"/>
        </a:xfrm>
      </xdr:grpSpPr>
      <xdr:cxnSp macro="">
        <xdr:nvCxnSpPr>
          <xdr:cNvPr id="102" name="Conector recto 101">
            <a:extLst>
              <a:ext uri="{FF2B5EF4-FFF2-40B4-BE49-F238E27FC236}">
                <a16:creationId xmlns:a16="http://schemas.microsoft.com/office/drawing/2014/main" id="{FF1B9D6E-A67F-42B3-A638-2533FFED68DE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" name="Conector recto 102">
            <a:extLst>
              <a:ext uri="{FF2B5EF4-FFF2-40B4-BE49-F238E27FC236}">
                <a16:creationId xmlns:a16="http://schemas.microsoft.com/office/drawing/2014/main" id="{561ADC48-CAAD-BBAE-4F93-C930341829A2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171450</xdr:colOff>
      <xdr:row>18</xdr:row>
      <xdr:rowOff>38100</xdr:rowOff>
    </xdr:from>
    <xdr:to>
      <xdr:col>2</xdr:col>
      <xdr:colOff>314325</xdr:colOff>
      <xdr:row>18</xdr:row>
      <xdr:rowOff>142875</xdr:rowOff>
    </xdr:to>
    <xdr:grpSp>
      <xdr:nvGrpSpPr>
        <xdr:cNvPr id="119" name="Grupo 118">
          <a:extLst>
            <a:ext uri="{FF2B5EF4-FFF2-40B4-BE49-F238E27FC236}">
              <a16:creationId xmlns:a16="http://schemas.microsoft.com/office/drawing/2014/main" id="{B43EC8C9-0627-44B7-BA9F-662025E34355}"/>
            </a:ext>
          </a:extLst>
        </xdr:cNvPr>
        <xdr:cNvGrpSpPr/>
      </xdr:nvGrpSpPr>
      <xdr:grpSpPr>
        <a:xfrm>
          <a:off x="2181225" y="3476625"/>
          <a:ext cx="142875" cy="104775"/>
          <a:chOff x="5410200" y="1209675"/>
          <a:chExt cx="142875" cy="104775"/>
        </a:xfrm>
      </xdr:grpSpPr>
      <xdr:cxnSp macro="">
        <xdr:nvCxnSpPr>
          <xdr:cNvPr id="120" name="Conector recto 119">
            <a:extLst>
              <a:ext uri="{FF2B5EF4-FFF2-40B4-BE49-F238E27FC236}">
                <a16:creationId xmlns:a16="http://schemas.microsoft.com/office/drawing/2014/main" id="{1D50DBC0-2C21-214F-5E00-346E7C061B26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1" name="Conector recto 120">
            <a:extLst>
              <a:ext uri="{FF2B5EF4-FFF2-40B4-BE49-F238E27FC236}">
                <a16:creationId xmlns:a16="http://schemas.microsoft.com/office/drawing/2014/main" id="{070B0322-F939-D1CC-CB75-ADF9467A1CC7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152400</xdr:colOff>
      <xdr:row>18</xdr:row>
      <xdr:rowOff>28575</xdr:rowOff>
    </xdr:from>
    <xdr:to>
      <xdr:col>3</xdr:col>
      <xdr:colOff>295275</xdr:colOff>
      <xdr:row>18</xdr:row>
      <xdr:rowOff>133350</xdr:rowOff>
    </xdr:to>
    <xdr:grpSp>
      <xdr:nvGrpSpPr>
        <xdr:cNvPr id="122" name="Grupo 121">
          <a:extLst>
            <a:ext uri="{FF2B5EF4-FFF2-40B4-BE49-F238E27FC236}">
              <a16:creationId xmlns:a16="http://schemas.microsoft.com/office/drawing/2014/main" id="{18D2C001-F77B-4449-911C-021C10E014FB}"/>
            </a:ext>
          </a:extLst>
        </xdr:cNvPr>
        <xdr:cNvGrpSpPr/>
      </xdr:nvGrpSpPr>
      <xdr:grpSpPr>
        <a:xfrm>
          <a:off x="2609850" y="3467100"/>
          <a:ext cx="142875" cy="104775"/>
          <a:chOff x="5410200" y="1209675"/>
          <a:chExt cx="142875" cy="104775"/>
        </a:xfrm>
      </xdr:grpSpPr>
      <xdr:cxnSp macro="">
        <xdr:nvCxnSpPr>
          <xdr:cNvPr id="123" name="Conector recto 122">
            <a:extLst>
              <a:ext uri="{FF2B5EF4-FFF2-40B4-BE49-F238E27FC236}">
                <a16:creationId xmlns:a16="http://schemas.microsoft.com/office/drawing/2014/main" id="{606312BD-2271-BC23-44D1-EAA56F8A43C2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4" name="Conector recto 123">
            <a:extLst>
              <a:ext uri="{FF2B5EF4-FFF2-40B4-BE49-F238E27FC236}">
                <a16:creationId xmlns:a16="http://schemas.microsoft.com/office/drawing/2014/main" id="{27C158E7-8487-DE7F-7108-2448941C26DA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152400</xdr:colOff>
      <xdr:row>18</xdr:row>
      <xdr:rowOff>38100</xdr:rowOff>
    </xdr:from>
    <xdr:to>
      <xdr:col>4</xdr:col>
      <xdr:colOff>295275</xdr:colOff>
      <xdr:row>18</xdr:row>
      <xdr:rowOff>142875</xdr:rowOff>
    </xdr:to>
    <xdr:grpSp>
      <xdr:nvGrpSpPr>
        <xdr:cNvPr id="125" name="Grupo 124">
          <a:extLst>
            <a:ext uri="{FF2B5EF4-FFF2-40B4-BE49-F238E27FC236}">
              <a16:creationId xmlns:a16="http://schemas.microsoft.com/office/drawing/2014/main" id="{A4F86F79-0332-4D83-B5BC-77A0B7BE1EFB}"/>
            </a:ext>
          </a:extLst>
        </xdr:cNvPr>
        <xdr:cNvGrpSpPr/>
      </xdr:nvGrpSpPr>
      <xdr:grpSpPr>
        <a:xfrm>
          <a:off x="3057525" y="3476625"/>
          <a:ext cx="142875" cy="104775"/>
          <a:chOff x="5410200" y="1209675"/>
          <a:chExt cx="142875" cy="104775"/>
        </a:xfrm>
      </xdr:grpSpPr>
      <xdr:cxnSp macro="">
        <xdr:nvCxnSpPr>
          <xdr:cNvPr id="126" name="Conector recto 125">
            <a:extLst>
              <a:ext uri="{FF2B5EF4-FFF2-40B4-BE49-F238E27FC236}">
                <a16:creationId xmlns:a16="http://schemas.microsoft.com/office/drawing/2014/main" id="{252FDC75-5514-C9FE-D551-7287931F69A3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7" name="Conector recto 126">
            <a:extLst>
              <a:ext uri="{FF2B5EF4-FFF2-40B4-BE49-F238E27FC236}">
                <a16:creationId xmlns:a16="http://schemas.microsoft.com/office/drawing/2014/main" id="{6F90C220-A6C5-6643-A90F-AE74717FD67E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152400</xdr:colOff>
      <xdr:row>18</xdr:row>
      <xdr:rowOff>38100</xdr:rowOff>
    </xdr:from>
    <xdr:to>
      <xdr:col>5</xdr:col>
      <xdr:colOff>295275</xdr:colOff>
      <xdr:row>18</xdr:row>
      <xdr:rowOff>142875</xdr:rowOff>
    </xdr:to>
    <xdr:grpSp>
      <xdr:nvGrpSpPr>
        <xdr:cNvPr id="128" name="Grupo 127">
          <a:extLst>
            <a:ext uri="{FF2B5EF4-FFF2-40B4-BE49-F238E27FC236}">
              <a16:creationId xmlns:a16="http://schemas.microsoft.com/office/drawing/2014/main" id="{C77A83FB-305E-43B6-85D8-60638F65C399}"/>
            </a:ext>
          </a:extLst>
        </xdr:cNvPr>
        <xdr:cNvGrpSpPr/>
      </xdr:nvGrpSpPr>
      <xdr:grpSpPr>
        <a:xfrm>
          <a:off x="3505200" y="3476625"/>
          <a:ext cx="142875" cy="104775"/>
          <a:chOff x="5410200" y="1209675"/>
          <a:chExt cx="142875" cy="104775"/>
        </a:xfrm>
      </xdr:grpSpPr>
      <xdr:cxnSp macro="">
        <xdr:nvCxnSpPr>
          <xdr:cNvPr id="129" name="Conector recto 128">
            <a:extLst>
              <a:ext uri="{FF2B5EF4-FFF2-40B4-BE49-F238E27FC236}">
                <a16:creationId xmlns:a16="http://schemas.microsoft.com/office/drawing/2014/main" id="{17F82AC1-8DE0-FAAD-BCFE-72A253EDB420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0" name="Conector recto 129">
            <a:extLst>
              <a:ext uri="{FF2B5EF4-FFF2-40B4-BE49-F238E27FC236}">
                <a16:creationId xmlns:a16="http://schemas.microsoft.com/office/drawing/2014/main" id="{E69DD908-1D65-4223-8EA4-22032108D485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171450</xdr:colOff>
      <xdr:row>18</xdr:row>
      <xdr:rowOff>38100</xdr:rowOff>
    </xdr:from>
    <xdr:to>
      <xdr:col>6</xdr:col>
      <xdr:colOff>314325</xdr:colOff>
      <xdr:row>18</xdr:row>
      <xdr:rowOff>142875</xdr:rowOff>
    </xdr:to>
    <xdr:grpSp>
      <xdr:nvGrpSpPr>
        <xdr:cNvPr id="131" name="Grupo 130">
          <a:extLst>
            <a:ext uri="{FF2B5EF4-FFF2-40B4-BE49-F238E27FC236}">
              <a16:creationId xmlns:a16="http://schemas.microsoft.com/office/drawing/2014/main" id="{6DAF1AB3-BCE5-475F-B17B-65CB9AE91E6C}"/>
            </a:ext>
          </a:extLst>
        </xdr:cNvPr>
        <xdr:cNvGrpSpPr/>
      </xdr:nvGrpSpPr>
      <xdr:grpSpPr>
        <a:xfrm>
          <a:off x="3971925" y="3476625"/>
          <a:ext cx="142875" cy="104775"/>
          <a:chOff x="5410200" y="1209675"/>
          <a:chExt cx="142875" cy="104775"/>
        </a:xfrm>
      </xdr:grpSpPr>
      <xdr:cxnSp macro="">
        <xdr:nvCxnSpPr>
          <xdr:cNvPr id="132" name="Conector recto 131">
            <a:extLst>
              <a:ext uri="{FF2B5EF4-FFF2-40B4-BE49-F238E27FC236}">
                <a16:creationId xmlns:a16="http://schemas.microsoft.com/office/drawing/2014/main" id="{620907AD-3257-BE59-ECF0-1E1587E0E7ED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3" name="Conector recto 132">
            <a:extLst>
              <a:ext uri="{FF2B5EF4-FFF2-40B4-BE49-F238E27FC236}">
                <a16:creationId xmlns:a16="http://schemas.microsoft.com/office/drawing/2014/main" id="{20217A8F-EDF8-B347-CBCF-05ACD9E3C8C1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152400</xdr:colOff>
      <xdr:row>9</xdr:row>
      <xdr:rowOff>38100</xdr:rowOff>
    </xdr:from>
    <xdr:to>
      <xdr:col>3</xdr:col>
      <xdr:colOff>295275</xdr:colOff>
      <xdr:row>9</xdr:row>
      <xdr:rowOff>142875</xdr:rowOff>
    </xdr:to>
    <xdr:grpSp>
      <xdr:nvGrpSpPr>
        <xdr:cNvPr id="134" name="Grupo 133">
          <a:extLst>
            <a:ext uri="{FF2B5EF4-FFF2-40B4-BE49-F238E27FC236}">
              <a16:creationId xmlns:a16="http://schemas.microsoft.com/office/drawing/2014/main" id="{32D241D2-C743-4752-A39F-6DF9BEE18B00}"/>
            </a:ext>
          </a:extLst>
        </xdr:cNvPr>
        <xdr:cNvGrpSpPr/>
      </xdr:nvGrpSpPr>
      <xdr:grpSpPr>
        <a:xfrm>
          <a:off x="2609850" y="1762125"/>
          <a:ext cx="142875" cy="104775"/>
          <a:chOff x="5410200" y="1209675"/>
          <a:chExt cx="142875" cy="104775"/>
        </a:xfrm>
      </xdr:grpSpPr>
      <xdr:cxnSp macro="">
        <xdr:nvCxnSpPr>
          <xdr:cNvPr id="135" name="Conector recto 134">
            <a:extLst>
              <a:ext uri="{FF2B5EF4-FFF2-40B4-BE49-F238E27FC236}">
                <a16:creationId xmlns:a16="http://schemas.microsoft.com/office/drawing/2014/main" id="{38DE7D0A-4D29-C3AC-973F-C7B51CBE2EE5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6" name="Conector recto 135">
            <a:extLst>
              <a:ext uri="{FF2B5EF4-FFF2-40B4-BE49-F238E27FC236}">
                <a16:creationId xmlns:a16="http://schemas.microsoft.com/office/drawing/2014/main" id="{68F88402-CFB4-32C3-7D6E-166AC6BC8B1F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114300</xdr:colOff>
      <xdr:row>4</xdr:row>
      <xdr:rowOff>38100</xdr:rowOff>
    </xdr:from>
    <xdr:to>
      <xdr:col>2</xdr:col>
      <xdr:colOff>257175</xdr:colOff>
      <xdr:row>4</xdr:row>
      <xdr:rowOff>142875</xdr:rowOff>
    </xdr:to>
    <xdr:grpSp>
      <xdr:nvGrpSpPr>
        <xdr:cNvPr id="137" name="Grupo 136">
          <a:extLst>
            <a:ext uri="{FF2B5EF4-FFF2-40B4-BE49-F238E27FC236}">
              <a16:creationId xmlns:a16="http://schemas.microsoft.com/office/drawing/2014/main" id="{EA8D9B9E-4FEA-4F0D-91CA-E47A34F8AB5A}"/>
            </a:ext>
          </a:extLst>
        </xdr:cNvPr>
        <xdr:cNvGrpSpPr/>
      </xdr:nvGrpSpPr>
      <xdr:grpSpPr>
        <a:xfrm>
          <a:off x="2124075" y="809625"/>
          <a:ext cx="142875" cy="104775"/>
          <a:chOff x="5410200" y="1209675"/>
          <a:chExt cx="142875" cy="104775"/>
        </a:xfrm>
      </xdr:grpSpPr>
      <xdr:cxnSp macro="">
        <xdr:nvCxnSpPr>
          <xdr:cNvPr id="138" name="Conector recto 137">
            <a:extLst>
              <a:ext uri="{FF2B5EF4-FFF2-40B4-BE49-F238E27FC236}">
                <a16:creationId xmlns:a16="http://schemas.microsoft.com/office/drawing/2014/main" id="{E9F84D63-9B6C-D28F-E904-32BEA038A73A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9" name="Conector recto 138">
            <a:extLst>
              <a:ext uri="{FF2B5EF4-FFF2-40B4-BE49-F238E27FC236}">
                <a16:creationId xmlns:a16="http://schemas.microsoft.com/office/drawing/2014/main" id="{BEA05E44-2BE1-2053-6C1F-96B1C80BBCB8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133350</xdr:colOff>
      <xdr:row>4</xdr:row>
      <xdr:rowOff>38100</xdr:rowOff>
    </xdr:from>
    <xdr:to>
      <xdr:col>3</xdr:col>
      <xdr:colOff>276225</xdr:colOff>
      <xdr:row>4</xdr:row>
      <xdr:rowOff>142875</xdr:rowOff>
    </xdr:to>
    <xdr:grpSp>
      <xdr:nvGrpSpPr>
        <xdr:cNvPr id="140" name="Grupo 139">
          <a:extLst>
            <a:ext uri="{FF2B5EF4-FFF2-40B4-BE49-F238E27FC236}">
              <a16:creationId xmlns:a16="http://schemas.microsoft.com/office/drawing/2014/main" id="{800B5AE4-62F6-43EB-A13C-DF38597E0190}"/>
            </a:ext>
          </a:extLst>
        </xdr:cNvPr>
        <xdr:cNvGrpSpPr/>
      </xdr:nvGrpSpPr>
      <xdr:grpSpPr>
        <a:xfrm>
          <a:off x="2590800" y="809625"/>
          <a:ext cx="142875" cy="104775"/>
          <a:chOff x="5410200" y="1209675"/>
          <a:chExt cx="142875" cy="104775"/>
        </a:xfrm>
      </xdr:grpSpPr>
      <xdr:cxnSp macro="">
        <xdr:nvCxnSpPr>
          <xdr:cNvPr id="141" name="Conector recto 140">
            <a:extLst>
              <a:ext uri="{FF2B5EF4-FFF2-40B4-BE49-F238E27FC236}">
                <a16:creationId xmlns:a16="http://schemas.microsoft.com/office/drawing/2014/main" id="{3C1DA202-CB60-56DB-6B81-893324D735BD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2" name="Conector recto 141">
            <a:extLst>
              <a:ext uri="{FF2B5EF4-FFF2-40B4-BE49-F238E27FC236}">
                <a16:creationId xmlns:a16="http://schemas.microsoft.com/office/drawing/2014/main" id="{5F395574-FE2B-9889-8FB9-6177D8373477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114300</xdr:colOff>
      <xdr:row>2</xdr:row>
      <xdr:rowOff>47625</xdr:rowOff>
    </xdr:from>
    <xdr:to>
      <xdr:col>2</xdr:col>
      <xdr:colOff>257175</xdr:colOff>
      <xdr:row>2</xdr:row>
      <xdr:rowOff>152400</xdr:rowOff>
    </xdr:to>
    <xdr:grpSp>
      <xdr:nvGrpSpPr>
        <xdr:cNvPr id="143" name="Grupo 142">
          <a:extLst>
            <a:ext uri="{FF2B5EF4-FFF2-40B4-BE49-F238E27FC236}">
              <a16:creationId xmlns:a16="http://schemas.microsoft.com/office/drawing/2014/main" id="{5609C1B5-25B5-4AA2-87F3-BC42E4CE7624}"/>
            </a:ext>
          </a:extLst>
        </xdr:cNvPr>
        <xdr:cNvGrpSpPr/>
      </xdr:nvGrpSpPr>
      <xdr:grpSpPr>
        <a:xfrm>
          <a:off x="2124075" y="438150"/>
          <a:ext cx="142875" cy="104775"/>
          <a:chOff x="5410200" y="1209675"/>
          <a:chExt cx="142875" cy="104775"/>
        </a:xfrm>
      </xdr:grpSpPr>
      <xdr:cxnSp macro="">
        <xdr:nvCxnSpPr>
          <xdr:cNvPr id="144" name="Conector recto 143">
            <a:extLst>
              <a:ext uri="{FF2B5EF4-FFF2-40B4-BE49-F238E27FC236}">
                <a16:creationId xmlns:a16="http://schemas.microsoft.com/office/drawing/2014/main" id="{26935674-7B57-D97C-E4B8-5CB9C8D54939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5" name="Conector recto 144">
            <a:extLst>
              <a:ext uri="{FF2B5EF4-FFF2-40B4-BE49-F238E27FC236}">
                <a16:creationId xmlns:a16="http://schemas.microsoft.com/office/drawing/2014/main" id="{69ED65A3-EA92-71FA-D602-94BCB5632D03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133350</xdr:colOff>
      <xdr:row>2</xdr:row>
      <xdr:rowOff>47625</xdr:rowOff>
    </xdr:from>
    <xdr:to>
      <xdr:col>3</xdr:col>
      <xdr:colOff>276225</xdr:colOff>
      <xdr:row>2</xdr:row>
      <xdr:rowOff>152400</xdr:rowOff>
    </xdr:to>
    <xdr:grpSp>
      <xdr:nvGrpSpPr>
        <xdr:cNvPr id="146" name="Grupo 145">
          <a:extLst>
            <a:ext uri="{FF2B5EF4-FFF2-40B4-BE49-F238E27FC236}">
              <a16:creationId xmlns:a16="http://schemas.microsoft.com/office/drawing/2014/main" id="{80EEA494-A847-4CE7-91EA-2DA0D58393C8}"/>
            </a:ext>
          </a:extLst>
        </xdr:cNvPr>
        <xdr:cNvGrpSpPr/>
      </xdr:nvGrpSpPr>
      <xdr:grpSpPr>
        <a:xfrm>
          <a:off x="2590800" y="438150"/>
          <a:ext cx="142875" cy="104775"/>
          <a:chOff x="5410200" y="1209675"/>
          <a:chExt cx="142875" cy="104775"/>
        </a:xfrm>
      </xdr:grpSpPr>
      <xdr:cxnSp macro="">
        <xdr:nvCxnSpPr>
          <xdr:cNvPr id="147" name="Conector recto 146">
            <a:extLst>
              <a:ext uri="{FF2B5EF4-FFF2-40B4-BE49-F238E27FC236}">
                <a16:creationId xmlns:a16="http://schemas.microsoft.com/office/drawing/2014/main" id="{5A11CC8A-D908-4DE3-E5B0-8023F8AE54B3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8" name="Conector recto 147">
            <a:extLst>
              <a:ext uri="{FF2B5EF4-FFF2-40B4-BE49-F238E27FC236}">
                <a16:creationId xmlns:a16="http://schemas.microsoft.com/office/drawing/2014/main" id="{828694E5-A5C9-F05A-420C-14BB82896B7F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171450</xdr:colOff>
      <xdr:row>2</xdr:row>
      <xdr:rowOff>47625</xdr:rowOff>
    </xdr:from>
    <xdr:to>
      <xdr:col>4</xdr:col>
      <xdr:colOff>314325</xdr:colOff>
      <xdr:row>2</xdr:row>
      <xdr:rowOff>152400</xdr:rowOff>
    </xdr:to>
    <xdr:grpSp>
      <xdr:nvGrpSpPr>
        <xdr:cNvPr id="149" name="Grupo 148">
          <a:extLst>
            <a:ext uri="{FF2B5EF4-FFF2-40B4-BE49-F238E27FC236}">
              <a16:creationId xmlns:a16="http://schemas.microsoft.com/office/drawing/2014/main" id="{AC338002-8D5E-41F5-A3CD-9E2716778755}"/>
            </a:ext>
          </a:extLst>
        </xdr:cNvPr>
        <xdr:cNvGrpSpPr/>
      </xdr:nvGrpSpPr>
      <xdr:grpSpPr>
        <a:xfrm>
          <a:off x="3076575" y="438150"/>
          <a:ext cx="142875" cy="104775"/>
          <a:chOff x="5410200" y="1209675"/>
          <a:chExt cx="142875" cy="104775"/>
        </a:xfrm>
      </xdr:grpSpPr>
      <xdr:cxnSp macro="">
        <xdr:nvCxnSpPr>
          <xdr:cNvPr id="150" name="Conector recto 149">
            <a:extLst>
              <a:ext uri="{FF2B5EF4-FFF2-40B4-BE49-F238E27FC236}">
                <a16:creationId xmlns:a16="http://schemas.microsoft.com/office/drawing/2014/main" id="{A0B79D5B-76CE-A32B-A00E-35668E3AE7C9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1" name="Conector recto 150">
            <a:extLst>
              <a:ext uri="{FF2B5EF4-FFF2-40B4-BE49-F238E27FC236}">
                <a16:creationId xmlns:a16="http://schemas.microsoft.com/office/drawing/2014/main" id="{AD063FAC-9846-7356-E944-C94052D72F9B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161925</xdr:colOff>
      <xdr:row>9</xdr:row>
      <xdr:rowOff>47625</xdr:rowOff>
    </xdr:from>
    <xdr:to>
      <xdr:col>4</xdr:col>
      <xdr:colOff>304800</xdr:colOff>
      <xdr:row>9</xdr:row>
      <xdr:rowOff>152400</xdr:rowOff>
    </xdr:to>
    <xdr:grpSp>
      <xdr:nvGrpSpPr>
        <xdr:cNvPr id="152" name="Grupo 151">
          <a:extLst>
            <a:ext uri="{FF2B5EF4-FFF2-40B4-BE49-F238E27FC236}">
              <a16:creationId xmlns:a16="http://schemas.microsoft.com/office/drawing/2014/main" id="{15632625-F5A0-4AE6-85FA-063A50C47724}"/>
            </a:ext>
          </a:extLst>
        </xdr:cNvPr>
        <xdr:cNvGrpSpPr/>
      </xdr:nvGrpSpPr>
      <xdr:grpSpPr>
        <a:xfrm>
          <a:off x="3067050" y="1771650"/>
          <a:ext cx="142875" cy="104775"/>
          <a:chOff x="5410200" y="1209675"/>
          <a:chExt cx="142875" cy="104775"/>
        </a:xfrm>
      </xdr:grpSpPr>
      <xdr:cxnSp macro="">
        <xdr:nvCxnSpPr>
          <xdr:cNvPr id="153" name="Conector recto 152">
            <a:extLst>
              <a:ext uri="{FF2B5EF4-FFF2-40B4-BE49-F238E27FC236}">
                <a16:creationId xmlns:a16="http://schemas.microsoft.com/office/drawing/2014/main" id="{A8F13B23-B2E5-5CA6-7EC1-2D543342D6B1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4" name="Conector recto 153">
            <a:extLst>
              <a:ext uri="{FF2B5EF4-FFF2-40B4-BE49-F238E27FC236}">
                <a16:creationId xmlns:a16="http://schemas.microsoft.com/office/drawing/2014/main" id="{E9C1E9BE-BEE7-7E75-52B4-FE740A63D151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152400</xdr:colOff>
      <xdr:row>8</xdr:row>
      <xdr:rowOff>47625</xdr:rowOff>
    </xdr:from>
    <xdr:to>
      <xdr:col>2</xdr:col>
      <xdr:colOff>295275</xdr:colOff>
      <xdr:row>8</xdr:row>
      <xdr:rowOff>152400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71587A31-309F-4053-A16B-E601334C020D}"/>
            </a:ext>
          </a:extLst>
        </xdr:cNvPr>
        <xdr:cNvGrpSpPr/>
      </xdr:nvGrpSpPr>
      <xdr:grpSpPr>
        <a:xfrm>
          <a:off x="2162175" y="1581150"/>
          <a:ext cx="142875" cy="104775"/>
          <a:chOff x="5410200" y="1209675"/>
          <a:chExt cx="142875" cy="104775"/>
        </a:xfrm>
      </xdr:grpSpPr>
      <xdr:cxnSp macro="">
        <xdr:nvCxnSpPr>
          <xdr:cNvPr id="4" name="Conector recto 3">
            <a:extLst>
              <a:ext uri="{FF2B5EF4-FFF2-40B4-BE49-F238E27FC236}">
                <a16:creationId xmlns:a16="http://schemas.microsoft.com/office/drawing/2014/main" id="{FBB904C8-AE94-AFAD-3112-AC91415942BA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Conector recto 4">
            <a:extLst>
              <a:ext uri="{FF2B5EF4-FFF2-40B4-BE49-F238E27FC236}">
                <a16:creationId xmlns:a16="http://schemas.microsoft.com/office/drawing/2014/main" id="{300E6E1F-3059-AB14-268F-A49FE62A4CA2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161925</xdr:colOff>
      <xdr:row>8</xdr:row>
      <xdr:rowOff>47625</xdr:rowOff>
    </xdr:from>
    <xdr:to>
      <xdr:col>3</xdr:col>
      <xdr:colOff>304800</xdr:colOff>
      <xdr:row>8</xdr:row>
      <xdr:rowOff>152400</xdr:rowOff>
    </xdr:to>
    <xdr:grpSp>
      <xdr:nvGrpSpPr>
        <xdr:cNvPr id="35" name="Grupo 34">
          <a:extLst>
            <a:ext uri="{FF2B5EF4-FFF2-40B4-BE49-F238E27FC236}">
              <a16:creationId xmlns:a16="http://schemas.microsoft.com/office/drawing/2014/main" id="{A38B72AD-8770-4BBA-B306-85E810C3DC55}"/>
            </a:ext>
          </a:extLst>
        </xdr:cNvPr>
        <xdr:cNvGrpSpPr/>
      </xdr:nvGrpSpPr>
      <xdr:grpSpPr>
        <a:xfrm>
          <a:off x="2619375" y="1581150"/>
          <a:ext cx="142875" cy="104775"/>
          <a:chOff x="5410200" y="1209675"/>
          <a:chExt cx="142875" cy="104775"/>
        </a:xfrm>
      </xdr:grpSpPr>
      <xdr:cxnSp macro="">
        <xdr:nvCxnSpPr>
          <xdr:cNvPr id="36" name="Conector recto 35">
            <a:extLst>
              <a:ext uri="{FF2B5EF4-FFF2-40B4-BE49-F238E27FC236}">
                <a16:creationId xmlns:a16="http://schemas.microsoft.com/office/drawing/2014/main" id="{3B508ACE-EAB2-AE09-35C9-E397D4FB4E1B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Conector recto 36">
            <a:extLst>
              <a:ext uri="{FF2B5EF4-FFF2-40B4-BE49-F238E27FC236}">
                <a16:creationId xmlns:a16="http://schemas.microsoft.com/office/drawing/2014/main" id="{F3FC4D37-5298-F1C2-67BD-2775CC1FCF81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152400</xdr:colOff>
      <xdr:row>8</xdr:row>
      <xdr:rowOff>38100</xdr:rowOff>
    </xdr:from>
    <xdr:to>
      <xdr:col>4</xdr:col>
      <xdr:colOff>295275</xdr:colOff>
      <xdr:row>8</xdr:row>
      <xdr:rowOff>142875</xdr:rowOff>
    </xdr:to>
    <xdr:grpSp>
      <xdr:nvGrpSpPr>
        <xdr:cNvPr id="38" name="Grupo 37">
          <a:extLst>
            <a:ext uri="{FF2B5EF4-FFF2-40B4-BE49-F238E27FC236}">
              <a16:creationId xmlns:a16="http://schemas.microsoft.com/office/drawing/2014/main" id="{5B15A01B-19CF-4F0A-B59E-66A3FC0B1BB6}"/>
            </a:ext>
          </a:extLst>
        </xdr:cNvPr>
        <xdr:cNvGrpSpPr/>
      </xdr:nvGrpSpPr>
      <xdr:grpSpPr>
        <a:xfrm>
          <a:off x="3057525" y="1571625"/>
          <a:ext cx="142875" cy="104775"/>
          <a:chOff x="5410200" y="1209675"/>
          <a:chExt cx="142875" cy="104775"/>
        </a:xfrm>
      </xdr:grpSpPr>
      <xdr:cxnSp macro="">
        <xdr:nvCxnSpPr>
          <xdr:cNvPr id="39" name="Conector recto 38">
            <a:extLst>
              <a:ext uri="{FF2B5EF4-FFF2-40B4-BE49-F238E27FC236}">
                <a16:creationId xmlns:a16="http://schemas.microsoft.com/office/drawing/2014/main" id="{3E6CA296-0FB8-4A3F-DD60-49B08656B685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Conector recto 39">
            <a:extLst>
              <a:ext uri="{FF2B5EF4-FFF2-40B4-BE49-F238E27FC236}">
                <a16:creationId xmlns:a16="http://schemas.microsoft.com/office/drawing/2014/main" id="{D89F8A50-B7B0-3B9D-674F-03E8E635D98F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142875</xdr:colOff>
      <xdr:row>8</xdr:row>
      <xdr:rowOff>28575</xdr:rowOff>
    </xdr:from>
    <xdr:to>
      <xdr:col>5</xdr:col>
      <xdr:colOff>285750</xdr:colOff>
      <xdr:row>8</xdr:row>
      <xdr:rowOff>133350</xdr:rowOff>
    </xdr:to>
    <xdr:grpSp>
      <xdr:nvGrpSpPr>
        <xdr:cNvPr id="41" name="Grupo 40">
          <a:extLst>
            <a:ext uri="{FF2B5EF4-FFF2-40B4-BE49-F238E27FC236}">
              <a16:creationId xmlns:a16="http://schemas.microsoft.com/office/drawing/2014/main" id="{0688F21F-50E2-4DAA-9E59-4BFAA3D7D839}"/>
            </a:ext>
          </a:extLst>
        </xdr:cNvPr>
        <xdr:cNvGrpSpPr/>
      </xdr:nvGrpSpPr>
      <xdr:grpSpPr>
        <a:xfrm>
          <a:off x="3495675" y="1562100"/>
          <a:ext cx="142875" cy="104775"/>
          <a:chOff x="5410200" y="1209675"/>
          <a:chExt cx="142875" cy="104775"/>
        </a:xfrm>
      </xdr:grpSpPr>
      <xdr:cxnSp macro="">
        <xdr:nvCxnSpPr>
          <xdr:cNvPr id="42" name="Conector recto 41">
            <a:extLst>
              <a:ext uri="{FF2B5EF4-FFF2-40B4-BE49-F238E27FC236}">
                <a16:creationId xmlns:a16="http://schemas.microsoft.com/office/drawing/2014/main" id="{81F8F04C-523B-28ED-7DE2-2D495ECAAEC9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" name="Conector recto 42">
            <a:extLst>
              <a:ext uri="{FF2B5EF4-FFF2-40B4-BE49-F238E27FC236}">
                <a16:creationId xmlns:a16="http://schemas.microsoft.com/office/drawing/2014/main" id="{6599DCCC-CFF1-0FDF-5986-1549861542EE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152400</xdr:colOff>
      <xdr:row>8</xdr:row>
      <xdr:rowOff>19050</xdr:rowOff>
    </xdr:from>
    <xdr:to>
      <xdr:col>6</xdr:col>
      <xdr:colOff>295275</xdr:colOff>
      <xdr:row>8</xdr:row>
      <xdr:rowOff>123825</xdr:rowOff>
    </xdr:to>
    <xdr:grpSp>
      <xdr:nvGrpSpPr>
        <xdr:cNvPr id="74" name="Grupo 73">
          <a:extLst>
            <a:ext uri="{FF2B5EF4-FFF2-40B4-BE49-F238E27FC236}">
              <a16:creationId xmlns:a16="http://schemas.microsoft.com/office/drawing/2014/main" id="{82A87E6B-A64C-4B2A-B0E9-AACE086AC878}"/>
            </a:ext>
          </a:extLst>
        </xdr:cNvPr>
        <xdr:cNvGrpSpPr/>
      </xdr:nvGrpSpPr>
      <xdr:grpSpPr>
        <a:xfrm>
          <a:off x="3952875" y="1552575"/>
          <a:ext cx="142875" cy="104775"/>
          <a:chOff x="5410200" y="1209675"/>
          <a:chExt cx="142875" cy="104775"/>
        </a:xfrm>
      </xdr:grpSpPr>
      <xdr:cxnSp macro="">
        <xdr:nvCxnSpPr>
          <xdr:cNvPr id="75" name="Conector recto 74">
            <a:extLst>
              <a:ext uri="{FF2B5EF4-FFF2-40B4-BE49-F238E27FC236}">
                <a16:creationId xmlns:a16="http://schemas.microsoft.com/office/drawing/2014/main" id="{01591F95-F291-2C7E-9A5E-43F241D699A7}"/>
              </a:ext>
            </a:extLst>
          </xdr:cNvPr>
          <xdr:cNvCxnSpPr/>
        </xdr:nvCxnSpPr>
        <xdr:spPr>
          <a:xfrm>
            <a:off x="5410200" y="1266825"/>
            <a:ext cx="38100" cy="47625"/>
          </a:xfrm>
          <a:prstGeom prst="line">
            <a:avLst/>
          </a:prstGeom>
          <a:ln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" name="Conector recto 75">
            <a:extLst>
              <a:ext uri="{FF2B5EF4-FFF2-40B4-BE49-F238E27FC236}">
                <a16:creationId xmlns:a16="http://schemas.microsoft.com/office/drawing/2014/main" id="{77B5FA0F-2DAC-7EBD-3BAB-B2964669509B}"/>
              </a:ext>
            </a:extLst>
          </xdr:cNvPr>
          <xdr:cNvCxnSpPr/>
        </xdr:nvCxnSpPr>
        <xdr:spPr>
          <a:xfrm flipV="1">
            <a:off x="5438775" y="1209675"/>
            <a:ext cx="114300" cy="952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9322C-496C-40C2-9C91-909AD01D3704}">
  <dimension ref="A1:O27"/>
  <sheetViews>
    <sheetView workbookViewId="0">
      <selection activeCell="A18" sqref="A18"/>
    </sheetView>
  </sheetViews>
  <sheetFormatPr baseColWidth="10" defaultRowHeight="15" x14ac:dyDescent="0.25"/>
  <cols>
    <col min="2" max="2" width="22.28515625" customWidth="1"/>
    <col min="3" max="3" width="11.5703125" customWidth="1"/>
    <col min="4" max="4" width="13.85546875" customWidth="1"/>
    <col min="11" max="11" width="78.85546875" customWidth="1"/>
  </cols>
  <sheetData>
    <row r="1" spans="1:15" ht="15.75" thickBot="1" x14ac:dyDescent="0.3">
      <c r="A1" s="112" t="s">
        <v>0</v>
      </c>
      <c r="B1" s="112" t="s">
        <v>1</v>
      </c>
      <c r="C1" s="112" t="s">
        <v>2</v>
      </c>
      <c r="D1" s="112" t="s">
        <v>3</v>
      </c>
      <c r="E1" s="112" t="s">
        <v>4</v>
      </c>
      <c r="F1" s="112" t="s">
        <v>5</v>
      </c>
    </row>
    <row r="2" spans="1:15" x14ac:dyDescent="0.25">
      <c r="A2" s="3">
        <v>67</v>
      </c>
      <c r="B2" s="15" t="s">
        <v>17</v>
      </c>
      <c r="C2" s="5" t="s">
        <v>8</v>
      </c>
      <c r="D2" s="4"/>
      <c r="E2" s="4"/>
      <c r="F2" s="6"/>
      <c r="G2" s="113">
        <f>1350/22</f>
        <v>61.363636363636367</v>
      </c>
      <c r="H2" s="113">
        <f>G2*4</f>
        <v>245.45454545454547</v>
      </c>
    </row>
    <row r="3" spans="1:15" x14ac:dyDescent="0.25">
      <c r="A3" s="7">
        <v>45</v>
      </c>
      <c r="B3" s="16" t="s">
        <v>18</v>
      </c>
      <c r="C3" s="1" t="s">
        <v>11</v>
      </c>
      <c r="D3" s="2"/>
      <c r="E3" s="2"/>
      <c r="F3" s="8"/>
      <c r="G3" s="113">
        <f>(43.5*6)/22</f>
        <v>11.863636363636363</v>
      </c>
      <c r="H3" s="113">
        <f>G3*4</f>
        <v>47.454545454545453</v>
      </c>
    </row>
    <row r="4" spans="1:15" x14ac:dyDescent="0.25">
      <c r="A4" s="7">
        <v>40</v>
      </c>
      <c r="B4" s="16" t="s">
        <v>15</v>
      </c>
      <c r="C4" s="1" t="s">
        <v>16</v>
      </c>
      <c r="D4" s="2"/>
      <c r="E4" s="2"/>
      <c r="F4" s="8"/>
      <c r="G4">
        <v>2.95</v>
      </c>
      <c r="H4">
        <f>G4*3</f>
        <v>8.8500000000000014</v>
      </c>
    </row>
    <row r="5" spans="1:15" x14ac:dyDescent="0.25">
      <c r="A5" s="7">
        <v>30</v>
      </c>
      <c r="B5" s="16" t="s">
        <v>14</v>
      </c>
      <c r="C5" s="1" t="s">
        <v>9</v>
      </c>
      <c r="D5" s="2"/>
      <c r="E5" s="1"/>
      <c r="F5" s="8"/>
      <c r="H5" s="113">
        <f>SUM(H2:H4)</f>
        <v>301.75909090909096</v>
      </c>
      <c r="I5" s="113"/>
    </row>
    <row r="6" spans="1:15" ht="15.75" thickBot="1" x14ac:dyDescent="0.3">
      <c r="A6" s="7">
        <v>56</v>
      </c>
      <c r="B6" s="16" t="s">
        <v>25</v>
      </c>
      <c r="C6" s="1" t="s">
        <v>10</v>
      </c>
      <c r="D6" s="2"/>
      <c r="E6" s="2"/>
      <c r="F6" s="8"/>
      <c r="H6">
        <v>100</v>
      </c>
    </row>
    <row r="7" spans="1:15" ht="15.75" thickBot="1" x14ac:dyDescent="0.3">
      <c r="A7" s="7">
        <v>24</v>
      </c>
      <c r="B7" s="16" t="s">
        <v>19</v>
      </c>
      <c r="C7" s="1" t="s">
        <v>55</v>
      </c>
      <c r="D7" s="2"/>
      <c r="E7" s="2"/>
      <c r="F7" s="8"/>
      <c r="H7" s="113">
        <f>H5-H6</f>
        <v>201.75909090909096</v>
      </c>
      <c r="L7" s="123" t="s">
        <v>74</v>
      </c>
      <c r="M7" s="124" t="s">
        <v>75</v>
      </c>
      <c r="N7" s="124" t="s">
        <v>76</v>
      </c>
      <c r="O7" s="125" t="s">
        <v>77</v>
      </c>
    </row>
    <row r="8" spans="1:15" x14ac:dyDescent="0.25">
      <c r="A8" s="7">
        <v>62</v>
      </c>
      <c r="B8" s="16" t="s">
        <v>6</v>
      </c>
      <c r="C8" s="1" t="s">
        <v>8</v>
      </c>
      <c r="D8" s="2"/>
      <c r="E8" s="2"/>
      <c r="F8" s="8"/>
      <c r="L8" s="114">
        <v>45409</v>
      </c>
      <c r="M8" s="117">
        <v>6</v>
      </c>
      <c r="N8" s="117"/>
      <c r="O8" s="118">
        <v>6</v>
      </c>
    </row>
    <row r="9" spans="1:15" x14ac:dyDescent="0.25">
      <c r="A9" s="7">
        <v>9</v>
      </c>
      <c r="B9" s="96" t="s">
        <v>24</v>
      </c>
      <c r="C9" s="1" t="s">
        <v>8</v>
      </c>
      <c r="D9" s="2"/>
      <c r="E9" s="2"/>
      <c r="F9" s="8"/>
      <c r="L9" s="115">
        <v>45423</v>
      </c>
      <c r="M9" s="119">
        <v>5.86</v>
      </c>
      <c r="N9" s="119">
        <v>21.14</v>
      </c>
      <c r="O9" s="120">
        <v>27</v>
      </c>
    </row>
    <row r="10" spans="1:15" x14ac:dyDescent="0.25">
      <c r="A10" s="7">
        <v>15</v>
      </c>
      <c r="B10" s="16" t="s">
        <v>20</v>
      </c>
      <c r="C10" s="1" t="s">
        <v>9</v>
      </c>
      <c r="D10" s="2"/>
      <c r="E10" s="2"/>
      <c r="F10" s="8"/>
      <c r="L10" s="115">
        <v>45444</v>
      </c>
      <c r="M10" s="119"/>
      <c r="N10" s="119">
        <v>21</v>
      </c>
      <c r="O10" s="120">
        <v>21</v>
      </c>
    </row>
    <row r="11" spans="1:15" ht="15.75" thickBot="1" x14ac:dyDescent="0.3">
      <c r="A11" s="7">
        <v>91</v>
      </c>
      <c r="B11" s="16" t="s">
        <v>52</v>
      </c>
      <c r="C11" s="1" t="s">
        <v>9</v>
      </c>
      <c r="D11" s="2"/>
      <c r="E11" s="2"/>
      <c r="F11" s="8"/>
      <c r="L11" s="116">
        <v>45479</v>
      </c>
      <c r="M11" s="121"/>
      <c r="N11" s="121">
        <v>19.23</v>
      </c>
      <c r="O11" s="122">
        <v>19.23</v>
      </c>
    </row>
    <row r="12" spans="1:15" x14ac:dyDescent="0.25">
      <c r="A12" s="7">
        <v>61</v>
      </c>
      <c r="B12" s="16" t="s">
        <v>46</v>
      </c>
      <c r="C12" s="1" t="s">
        <v>10</v>
      </c>
      <c r="D12" s="2"/>
      <c r="E12" s="2"/>
      <c r="F12" s="8"/>
    </row>
    <row r="13" spans="1:15" x14ac:dyDescent="0.25">
      <c r="A13" s="7">
        <v>31</v>
      </c>
      <c r="B13" s="96" t="s">
        <v>44</v>
      </c>
      <c r="C13" s="1" t="s">
        <v>9</v>
      </c>
      <c r="D13" s="2"/>
      <c r="E13" s="2"/>
      <c r="F13" s="8"/>
    </row>
    <row r="14" spans="1:15" x14ac:dyDescent="0.25">
      <c r="A14" s="7">
        <v>99</v>
      </c>
      <c r="B14" s="96" t="s">
        <v>22</v>
      </c>
      <c r="C14" s="1" t="s">
        <v>10</v>
      </c>
      <c r="D14" s="2"/>
      <c r="E14" s="2"/>
      <c r="F14" s="8"/>
    </row>
    <row r="15" spans="1:15" x14ac:dyDescent="0.25">
      <c r="A15" s="7">
        <v>2</v>
      </c>
      <c r="B15" s="2" t="s">
        <v>56</v>
      </c>
      <c r="C15" s="1" t="s">
        <v>47</v>
      </c>
      <c r="D15" s="2"/>
      <c r="E15" s="2"/>
      <c r="F15" s="8"/>
    </row>
    <row r="16" spans="1:15" x14ac:dyDescent="0.25">
      <c r="A16" s="7">
        <v>44</v>
      </c>
      <c r="B16" s="96" t="s">
        <v>48</v>
      </c>
      <c r="C16" s="1" t="s">
        <v>9</v>
      </c>
      <c r="D16" s="2"/>
      <c r="E16" s="2"/>
      <c r="F16" s="8"/>
      <c r="L16">
        <v>7196</v>
      </c>
    </row>
    <row r="17" spans="1:6" x14ac:dyDescent="0.25">
      <c r="A17" s="7">
        <v>54</v>
      </c>
      <c r="B17" s="96" t="s">
        <v>50</v>
      </c>
      <c r="C17" s="1" t="s">
        <v>9</v>
      </c>
      <c r="D17" s="2"/>
      <c r="E17" s="2"/>
      <c r="F17" s="8"/>
    </row>
    <row r="18" spans="1:6" x14ac:dyDescent="0.25">
      <c r="A18" s="7">
        <v>36</v>
      </c>
      <c r="B18" s="96" t="s">
        <v>79</v>
      </c>
      <c r="C18" s="1" t="s">
        <v>9</v>
      </c>
      <c r="D18" s="2"/>
      <c r="E18" s="2"/>
      <c r="F18" s="8"/>
    </row>
    <row r="19" spans="1:6" x14ac:dyDescent="0.25">
      <c r="A19" s="7">
        <v>18</v>
      </c>
      <c r="B19" s="111" t="s">
        <v>53</v>
      </c>
      <c r="C19" s="1" t="s">
        <v>10</v>
      </c>
      <c r="D19" s="2"/>
      <c r="E19" s="2"/>
      <c r="F19" s="8"/>
    </row>
    <row r="20" spans="1:6" x14ac:dyDescent="0.25">
      <c r="A20" s="7">
        <v>33</v>
      </c>
      <c r="B20" s="96" t="s">
        <v>54</v>
      </c>
      <c r="C20" s="1" t="s">
        <v>9</v>
      </c>
      <c r="D20" s="2"/>
      <c r="E20" s="2"/>
      <c r="F20" s="8"/>
    </row>
    <row r="21" spans="1:6" x14ac:dyDescent="0.25">
      <c r="A21" s="7">
        <v>27</v>
      </c>
      <c r="B21" s="96" t="s">
        <v>68</v>
      </c>
      <c r="C21" s="1" t="s">
        <v>9</v>
      </c>
      <c r="D21" s="2"/>
      <c r="E21" s="2"/>
      <c r="F21" s="8"/>
    </row>
    <row r="22" spans="1:6" ht="15.75" thickBot="1" x14ac:dyDescent="0.3">
      <c r="A22" s="9">
        <v>64</v>
      </c>
      <c r="B22" s="110" t="s">
        <v>67</v>
      </c>
      <c r="C22" s="11" t="s">
        <v>10</v>
      </c>
      <c r="D22" s="10"/>
      <c r="E22" s="11"/>
      <c r="F22" s="12"/>
    </row>
    <row r="23" spans="1:6" x14ac:dyDescent="0.25">
      <c r="A23" s="141">
        <v>93</v>
      </c>
      <c r="B23" s="17" t="s">
        <v>21</v>
      </c>
      <c r="C23" s="141" t="s">
        <v>9</v>
      </c>
      <c r="E23" s="108"/>
    </row>
    <row r="24" spans="1:6" x14ac:dyDescent="0.25">
      <c r="A24" s="141"/>
      <c r="B24" s="17" t="s">
        <v>13</v>
      </c>
      <c r="C24" s="141" t="s">
        <v>23</v>
      </c>
    </row>
    <row r="25" spans="1:6" x14ac:dyDescent="0.25">
      <c r="A25" s="141">
        <v>21</v>
      </c>
      <c r="B25" s="17" t="s">
        <v>12</v>
      </c>
      <c r="C25" s="141" t="s">
        <v>7</v>
      </c>
    </row>
    <row r="26" spans="1:6" x14ac:dyDescent="0.25">
      <c r="A26" s="141"/>
      <c r="B26" s="17" t="s">
        <v>45</v>
      </c>
      <c r="C26" s="141" t="s">
        <v>10</v>
      </c>
      <c r="E26" s="108"/>
    </row>
    <row r="27" spans="1:6" x14ac:dyDescent="0.25">
      <c r="A27" s="108"/>
      <c r="B27" s="109"/>
      <c r="C27" s="10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22C8F-CD7A-4EF1-B8E1-7BAFA83C9D98}">
  <dimension ref="A1:BO23"/>
  <sheetViews>
    <sheetView tabSelected="1" view="pageLayout" zoomScaleNormal="100" workbookViewId="0">
      <selection activeCell="BM1" sqref="BM1:BO1"/>
    </sheetView>
  </sheetViews>
  <sheetFormatPr baseColWidth="10" defaultColWidth="11.42578125" defaultRowHeight="15" x14ac:dyDescent="0.25"/>
  <cols>
    <col min="1" max="1" width="3.5703125" bestFit="1" customWidth="1"/>
    <col min="2" max="2" width="20.7109375" customWidth="1"/>
    <col min="3" max="3" width="4.5703125" bestFit="1" customWidth="1"/>
    <col min="4" max="11" width="1.85546875" customWidth="1"/>
    <col min="12" max="15" width="1.7109375" customWidth="1"/>
    <col min="16" max="23" width="1.85546875" customWidth="1"/>
    <col min="24" max="27" width="1.7109375" customWidth="1"/>
    <col min="28" max="35" width="1.85546875" customWidth="1"/>
    <col min="36" max="39" width="1.7109375" customWidth="1"/>
    <col min="40" max="47" width="1.85546875" customWidth="1"/>
    <col min="48" max="51" width="1.7109375" customWidth="1"/>
    <col min="52" max="59" width="1.85546875" customWidth="1"/>
    <col min="60" max="63" width="1.7109375" customWidth="1"/>
    <col min="64" max="64" width="0.140625" customWidth="1"/>
    <col min="65" max="67" width="2" customWidth="1"/>
  </cols>
  <sheetData>
    <row r="1" spans="1:67" ht="15.75" thickBot="1" x14ac:dyDescent="0.3">
      <c r="A1" s="191" t="s">
        <v>26</v>
      </c>
      <c r="B1" s="193" t="s">
        <v>117</v>
      </c>
      <c r="C1" s="195" t="s">
        <v>34</v>
      </c>
      <c r="D1" s="185" t="s">
        <v>30</v>
      </c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7"/>
      <c r="P1" s="182" t="s">
        <v>40</v>
      </c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4"/>
      <c r="AB1" s="185" t="s">
        <v>41</v>
      </c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7"/>
      <c r="AN1" s="182" t="s">
        <v>42</v>
      </c>
      <c r="AO1" s="183"/>
      <c r="AP1" s="183"/>
      <c r="AQ1" s="183"/>
      <c r="AR1" s="183"/>
      <c r="AS1" s="183"/>
      <c r="AT1" s="183"/>
      <c r="AU1" s="183"/>
      <c r="AV1" s="183"/>
      <c r="AW1" s="183"/>
      <c r="AX1" s="183"/>
      <c r="AY1" s="184"/>
      <c r="AZ1" s="185" t="s">
        <v>43</v>
      </c>
      <c r="BA1" s="186"/>
      <c r="BB1" s="186"/>
      <c r="BC1" s="186"/>
      <c r="BD1" s="186"/>
      <c r="BE1" s="186"/>
      <c r="BF1" s="186"/>
      <c r="BG1" s="186"/>
      <c r="BH1" s="186"/>
      <c r="BI1" s="186"/>
      <c r="BJ1" s="186"/>
      <c r="BK1" s="187"/>
      <c r="BL1" s="37"/>
      <c r="BM1" s="188" t="s">
        <v>31</v>
      </c>
      <c r="BN1" s="189"/>
      <c r="BO1" s="190"/>
    </row>
    <row r="2" spans="1:67" ht="15.75" thickBot="1" x14ac:dyDescent="0.3">
      <c r="A2" s="192"/>
      <c r="B2" s="194"/>
      <c r="C2" s="196"/>
      <c r="D2" s="95" t="s">
        <v>28</v>
      </c>
      <c r="E2" s="91">
        <v>2</v>
      </c>
      <c r="F2" s="91">
        <v>3</v>
      </c>
      <c r="G2" s="91">
        <v>4</v>
      </c>
      <c r="H2" s="91" t="s">
        <v>38</v>
      </c>
      <c r="I2" s="91" t="s">
        <v>32</v>
      </c>
      <c r="J2" s="92" t="s">
        <v>39</v>
      </c>
      <c r="K2" s="91" t="s">
        <v>29</v>
      </c>
      <c r="L2" s="91" t="s">
        <v>49</v>
      </c>
      <c r="M2" s="91" t="s">
        <v>33</v>
      </c>
      <c r="N2" s="91" t="s">
        <v>36</v>
      </c>
      <c r="O2" s="93" t="s">
        <v>37</v>
      </c>
      <c r="P2" s="61" t="s">
        <v>28</v>
      </c>
      <c r="Q2" s="62">
        <v>2</v>
      </c>
      <c r="R2" s="62">
        <v>3</v>
      </c>
      <c r="S2" s="62">
        <v>4</v>
      </c>
      <c r="T2" s="62" t="s">
        <v>38</v>
      </c>
      <c r="U2" s="62" t="s">
        <v>32</v>
      </c>
      <c r="V2" s="63" t="s">
        <v>39</v>
      </c>
      <c r="W2" s="62" t="s">
        <v>29</v>
      </c>
      <c r="X2" s="62" t="s">
        <v>49</v>
      </c>
      <c r="Y2" s="62" t="s">
        <v>33</v>
      </c>
      <c r="Z2" s="62" t="s">
        <v>36</v>
      </c>
      <c r="AA2" s="64" t="s">
        <v>37</v>
      </c>
      <c r="AB2" s="90" t="s">
        <v>28</v>
      </c>
      <c r="AC2" s="91">
        <v>2</v>
      </c>
      <c r="AD2" s="91">
        <v>3</v>
      </c>
      <c r="AE2" s="91">
        <v>4</v>
      </c>
      <c r="AF2" s="91" t="s">
        <v>38</v>
      </c>
      <c r="AG2" s="91" t="s">
        <v>32</v>
      </c>
      <c r="AH2" s="92" t="s">
        <v>39</v>
      </c>
      <c r="AI2" s="91" t="s">
        <v>29</v>
      </c>
      <c r="AJ2" s="91" t="s">
        <v>49</v>
      </c>
      <c r="AK2" s="91" t="s">
        <v>33</v>
      </c>
      <c r="AL2" s="91" t="s">
        <v>36</v>
      </c>
      <c r="AM2" s="93" t="s">
        <v>37</v>
      </c>
      <c r="AN2" s="61" t="s">
        <v>28</v>
      </c>
      <c r="AO2" s="62">
        <v>2</v>
      </c>
      <c r="AP2" s="62">
        <v>3</v>
      </c>
      <c r="AQ2" s="62">
        <v>4</v>
      </c>
      <c r="AR2" s="62" t="s">
        <v>38</v>
      </c>
      <c r="AS2" s="62" t="s">
        <v>32</v>
      </c>
      <c r="AT2" s="63" t="s">
        <v>39</v>
      </c>
      <c r="AU2" s="62" t="s">
        <v>29</v>
      </c>
      <c r="AV2" s="62" t="s">
        <v>49</v>
      </c>
      <c r="AW2" s="62" t="s">
        <v>33</v>
      </c>
      <c r="AX2" s="62" t="s">
        <v>36</v>
      </c>
      <c r="AY2" s="64" t="s">
        <v>37</v>
      </c>
      <c r="AZ2" s="90" t="s">
        <v>28</v>
      </c>
      <c r="BA2" s="91">
        <v>2</v>
      </c>
      <c r="BB2" s="91">
        <v>3</v>
      </c>
      <c r="BC2" s="91">
        <v>4</v>
      </c>
      <c r="BD2" s="91" t="s">
        <v>38</v>
      </c>
      <c r="BE2" s="91" t="s">
        <v>32</v>
      </c>
      <c r="BF2" s="92" t="s">
        <v>39</v>
      </c>
      <c r="BG2" s="91" t="s">
        <v>29</v>
      </c>
      <c r="BH2" s="91" t="s">
        <v>49</v>
      </c>
      <c r="BI2" s="91" t="s">
        <v>33</v>
      </c>
      <c r="BJ2" s="91" t="s">
        <v>36</v>
      </c>
      <c r="BK2" s="94" t="s">
        <v>37</v>
      </c>
      <c r="BL2" s="37"/>
      <c r="BM2" s="20" t="s">
        <v>29</v>
      </c>
      <c r="BN2" s="21" t="s">
        <v>32</v>
      </c>
      <c r="BO2" s="22" t="s">
        <v>33</v>
      </c>
    </row>
    <row r="3" spans="1:67" ht="21" customHeight="1" x14ac:dyDescent="0.25">
      <c r="A3" s="97">
        <v>23</v>
      </c>
      <c r="B3" s="160" t="s">
        <v>118</v>
      </c>
      <c r="C3" s="162">
        <v>8</v>
      </c>
      <c r="D3" s="44"/>
      <c r="E3" s="44"/>
      <c r="F3" s="44"/>
      <c r="G3" s="44"/>
      <c r="H3" s="44"/>
      <c r="I3" s="44"/>
      <c r="J3" s="44"/>
      <c r="K3" s="44"/>
      <c r="L3" s="100"/>
      <c r="M3" s="55"/>
      <c r="N3" s="53"/>
      <c r="O3" s="14"/>
      <c r="P3" s="65"/>
      <c r="Q3" s="66"/>
      <c r="R3" s="66"/>
      <c r="S3" s="66"/>
      <c r="T3" s="66"/>
      <c r="U3" s="66"/>
      <c r="V3" s="66"/>
      <c r="W3" s="66"/>
      <c r="X3" s="104"/>
      <c r="Y3" s="67"/>
      <c r="Z3" s="67"/>
      <c r="AA3" s="68"/>
      <c r="AB3" s="50"/>
      <c r="AC3" s="44"/>
      <c r="AD3" s="44"/>
      <c r="AE3" s="44"/>
      <c r="AF3" s="44"/>
      <c r="AG3" s="44"/>
      <c r="AH3" s="44"/>
      <c r="AI3" s="44"/>
      <c r="AJ3" s="100"/>
      <c r="AK3" s="53"/>
      <c r="AM3" s="58"/>
      <c r="AN3" s="65"/>
      <c r="AO3" s="66"/>
      <c r="AP3" s="66"/>
      <c r="AQ3" s="66"/>
      <c r="AR3" s="66"/>
      <c r="AS3" s="66"/>
      <c r="AT3" s="66"/>
      <c r="AU3" s="66"/>
      <c r="AV3" s="104"/>
      <c r="AW3" s="67"/>
      <c r="AX3" s="84"/>
      <c r="AY3" s="85"/>
      <c r="AZ3" s="50"/>
      <c r="BA3" s="44"/>
      <c r="BB3" s="44"/>
      <c r="BC3" s="44"/>
      <c r="BD3" s="44"/>
      <c r="BE3" s="44"/>
      <c r="BF3" s="44"/>
      <c r="BG3" s="44"/>
      <c r="BH3" s="100"/>
      <c r="BI3" s="53"/>
      <c r="BK3" s="58"/>
      <c r="BL3" s="37"/>
      <c r="BM3" s="4"/>
      <c r="BN3" s="4"/>
      <c r="BO3" s="6"/>
    </row>
    <row r="4" spans="1:67" ht="21" customHeight="1" x14ac:dyDescent="0.25">
      <c r="A4" s="98"/>
      <c r="B4" s="161"/>
      <c r="C4" s="163"/>
      <c r="D4" s="47"/>
      <c r="E4" s="47"/>
      <c r="F4" s="47"/>
      <c r="G4" s="47"/>
      <c r="H4" s="47"/>
      <c r="I4" s="47"/>
      <c r="J4" s="47"/>
      <c r="K4" s="47"/>
      <c r="L4" s="101"/>
      <c r="M4" s="19"/>
      <c r="N4" s="2"/>
      <c r="O4" s="51"/>
      <c r="P4" s="69"/>
      <c r="Q4" s="70"/>
      <c r="R4" s="70"/>
      <c r="S4" s="70"/>
      <c r="T4" s="70"/>
      <c r="U4" s="70"/>
      <c r="V4" s="70"/>
      <c r="W4" s="70"/>
      <c r="X4" s="105"/>
      <c r="Y4" s="33"/>
      <c r="Z4" s="33"/>
      <c r="AA4" s="71"/>
      <c r="AB4" s="49"/>
      <c r="AC4" s="47"/>
      <c r="AD4" s="47"/>
      <c r="AE4" s="47"/>
      <c r="AF4" s="47"/>
      <c r="AG4" s="47"/>
      <c r="AH4" s="47"/>
      <c r="AI4" s="47"/>
      <c r="AJ4" s="101"/>
      <c r="AK4" s="2"/>
      <c r="AL4" s="27"/>
      <c r="AM4" s="8"/>
      <c r="AN4" s="69"/>
      <c r="AO4" s="70"/>
      <c r="AP4" s="70"/>
      <c r="AQ4" s="70"/>
      <c r="AR4" s="70"/>
      <c r="AS4" s="70"/>
      <c r="AT4" s="70"/>
      <c r="AU4" s="70"/>
      <c r="AV4" s="105"/>
      <c r="AW4" s="33"/>
      <c r="AX4" s="86"/>
      <c r="AY4" s="34"/>
      <c r="AZ4" s="49"/>
      <c r="BA4" s="47"/>
      <c r="BB4" s="47"/>
      <c r="BC4" s="47"/>
      <c r="BD4" s="47"/>
      <c r="BE4" s="47"/>
      <c r="BF4" s="47"/>
      <c r="BG4" s="47"/>
      <c r="BH4" s="101"/>
      <c r="BI4" s="2"/>
      <c r="BJ4" s="27"/>
      <c r="BK4" s="8"/>
      <c r="BL4" s="37"/>
      <c r="BM4" s="2"/>
      <c r="BN4" s="2"/>
      <c r="BO4" s="8"/>
    </row>
    <row r="5" spans="1:67" ht="21" customHeight="1" x14ac:dyDescent="0.25">
      <c r="A5" s="98"/>
      <c r="B5" s="27"/>
      <c r="C5" s="98"/>
      <c r="D5" s="44"/>
      <c r="E5" s="44"/>
      <c r="F5" s="44"/>
      <c r="G5" s="44"/>
      <c r="H5" s="44"/>
      <c r="I5" s="44"/>
      <c r="J5" s="44"/>
      <c r="K5" s="44"/>
      <c r="L5" s="102"/>
      <c r="M5" s="56"/>
      <c r="N5" s="54"/>
      <c r="O5" s="14"/>
      <c r="P5" s="65"/>
      <c r="Q5" s="66"/>
      <c r="R5" s="66"/>
      <c r="S5" s="66"/>
      <c r="T5" s="66"/>
      <c r="U5" s="66"/>
      <c r="V5" s="66"/>
      <c r="W5" s="66"/>
      <c r="X5" s="106"/>
      <c r="Y5" s="72"/>
      <c r="Z5" s="72"/>
      <c r="AA5" s="68"/>
      <c r="AB5" s="50"/>
      <c r="AC5" s="44"/>
      <c r="AD5" s="44"/>
      <c r="AE5" s="44"/>
      <c r="AF5" s="44"/>
      <c r="AG5" s="44"/>
      <c r="AH5" s="44"/>
      <c r="AI5" s="44"/>
      <c r="AJ5" s="102"/>
      <c r="AK5" s="54"/>
      <c r="AM5" s="59"/>
      <c r="AN5" s="65"/>
      <c r="AO5" s="66"/>
      <c r="AP5" s="66"/>
      <c r="AQ5" s="66"/>
      <c r="AR5" s="66"/>
      <c r="AS5" s="66"/>
      <c r="AT5" s="66"/>
      <c r="AU5" s="66"/>
      <c r="AV5" s="106"/>
      <c r="AW5" s="72"/>
      <c r="AX5" s="84"/>
      <c r="AY5" s="87"/>
      <c r="AZ5" s="50"/>
      <c r="BA5" s="44"/>
      <c r="BB5" s="44"/>
      <c r="BC5" s="44"/>
      <c r="BD5" s="44"/>
      <c r="BE5" s="44"/>
      <c r="BF5" s="44"/>
      <c r="BG5" s="44"/>
      <c r="BH5" s="102"/>
      <c r="BI5" s="54"/>
      <c r="BK5" s="59"/>
      <c r="BL5" s="37"/>
      <c r="BM5" s="2"/>
      <c r="BN5" s="2"/>
      <c r="BO5" s="8"/>
    </row>
    <row r="6" spans="1:67" ht="21" customHeight="1" x14ac:dyDescent="0.25">
      <c r="A6" s="98"/>
      <c r="B6" s="27"/>
      <c r="C6" s="98"/>
      <c r="D6" s="47"/>
      <c r="E6" s="47"/>
      <c r="F6" s="47"/>
      <c r="G6" s="47"/>
      <c r="H6" s="47"/>
      <c r="I6" s="47"/>
      <c r="J6" s="47"/>
      <c r="K6" s="47"/>
      <c r="L6" s="101"/>
      <c r="M6" s="19"/>
      <c r="N6" s="2"/>
      <c r="O6" s="51"/>
      <c r="P6" s="69"/>
      <c r="Q6" s="70"/>
      <c r="R6" s="70"/>
      <c r="S6" s="70"/>
      <c r="T6" s="70"/>
      <c r="U6" s="70"/>
      <c r="V6" s="70"/>
      <c r="W6" s="70"/>
      <c r="X6" s="105"/>
      <c r="Y6" s="33"/>
      <c r="Z6" s="33"/>
      <c r="AA6" s="71"/>
      <c r="AB6" s="49"/>
      <c r="AC6" s="47"/>
      <c r="AD6" s="47"/>
      <c r="AE6" s="47"/>
      <c r="AF6" s="47"/>
      <c r="AG6" s="47"/>
      <c r="AH6" s="47"/>
      <c r="AI6" s="47"/>
      <c r="AJ6" s="101"/>
      <c r="AK6" s="2"/>
      <c r="AL6" s="27"/>
      <c r="AM6" s="8"/>
      <c r="AN6" s="69"/>
      <c r="AO6" s="70"/>
      <c r="AP6" s="70"/>
      <c r="AQ6" s="70"/>
      <c r="AR6" s="70"/>
      <c r="AS6" s="70"/>
      <c r="AT6" s="70"/>
      <c r="AU6" s="70"/>
      <c r="AV6" s="105"/>
      <c r="AW6" s="33"/>
      <c r="AX6" s="86"/>
      <c r="AY6" s="34"/>
      <c r="AZ6" s="49"/>
      <c r="BA6" s="47"/>
      <c r="BB6" s="47"/>
      <c r="BC6" s="47"/>
      <c r="BD6" s="47"/>
      <c r="BE6" s="47"/>
      <c r="BF6" s="47"/>
      <c r="BG6" s="47"/>
      <c r="BH6" s="101"/>
      <c r="BI6" s="2"/>
      <c r="BJ6" s="27"/>
      <c r="BK6" s="8"/>
      <c r="BL6" s="37"/>
      <c r="BM6" s="2"/>
      <c r="BN6" s="2"/>
      <c r="BO6" s="8"/>
    </row>
    <row r="7" spans="1:67" ht="21" customHeight="1" x14ac:dyDescent="0.25">
      <c r="A7" s="98"/>
      <c r="B7" s="27"/>
      <c r="C7" s="98"/>
      <c r="D7" s="44"/>
      <c r="E7" s="44"/>
      <c r="F7" s="44"/>
      <c r="G7" s="44"/>
      <c r="H7" s="44"/>
      <c r="I7" s="44"/>
      <c r="J7" s="44"/>
      <c r="K7" s="44"/>
      <c r="L7" s="102"/>
      <c r="M7" s="56"/>
      <c r="N7" s="54"/>
      <c r="O7" s="14"/>
      <c r="P7" s="65"/>
      <c r="Q7" s="66"/>
      <c r="R7" s="66"/>
      <c r="S7" s="66"/>
      <c r="T7" s="66"/>
      <c r="U7" s="66"/>
      <c r="V7" s="66"/>
      <c r="W7" s="66"/>
      <c r="X7" s="106"/>
      <c r="Y7" s="72"/>
      <c r="Z7" s="72"/>
      <c r="AA7" s="68"/>
      <c r="AB7" s="50"/>
      <c r="AC7" s="44"/>
      <c r="AD7" s="44"/>
      <c r="AE7" s="44"/>
      <c r="AF7" s="44"/>
      <c r="AG7" s="44"/>
      <c r="AH7" s="44"/>
      <c r="AI7" s="44"/>
      <c r="AJ7" s="102"/>
      <c r="AK7" s="54"/>
      <c r="AM7" s="59"/>
      <c r="AN7" s="65"/>
      <c r="AO7" s="66"/>
      <c r="AP7" s="66"/>
      <c r="AQ7" s="66"/>
      <c r="AR7" s="66"/>
      <c r="AS7" s="66"/>
      <c r="AT7" s="66"/>
      <c r="AU7" s="66"/>
      <c r="AV7" s="106"/>
      <c r="AW7" s="72"/>
      <c r="AX7" s="84"/>
      <c r="AY7" s="87"/>
      <c r="AZ7" s="50"/>
      <c r="BA7" s="44"/>
      <c r="BB7" s="44"/>
      <c r="BC7" s="44"/>
      <c r="BD7" s="44"/>
      <c r="BE7" s="44"/>
      <c r="BF7" s="44"/>
      <c r="BG7" s="44"/>
      <c r="BH7" s="102"/>
      <c r="BI7" s="54"/>
      <c r="BK7" s="59"/>
      <c r="BL7" s="37"/>
      <c r="BM7" s="2"/>
      <c r="BN7" s="2"/>
      <c r="BO7" s="8"/>
    </row>
    <row r="8" spans="1:67" ht="21" customHeight="1" x14ac:dyDescent="0.25">
      <c r="A8" s="98"/>
      <c r="B8" s="27"/>
      <c r="C8" s="98"/>
      <c r="D8" s="47"/>
      <c r="E8" s="47"/>
      <c r="F8" s="47"/>
      <c r="G8" s="47"/>
      <c r="H8" s="47"/>
      <c r="I8" s="47"/>
      <c r="J8" s="47"/>
      <c r="K8" s="47"/>
      <c r="L8" s="101"/>
      <c r="M8" s="19"/>
      <c r="N8" s="2"/>
      <c r="O8" s="51"/>
      <c r="P8" s="69"/>
      <c r="Q8" s="70"/>
      <c r="R8" s="70"/>
      <c r="S8" s="70"/>
      <c r="T8" s="70"/>
      <c r="U8" s="70"/>
      <c r="V8" s="70"/>
      <c r="W8" s="70"/>
      <c r="X8" s="105"/>
      <c r="Y8" s="33"/>
      <c r="Z8" s="33"/>
      <c r="AA8" s="71"/>
      <c r="AB8" s="49"/>
      <c r="AC8" s="47"/>
      <c r="AD8" s="47"/>
      <c r="AE8" s="47"/>
      <c r="AF8" s="47"/>
      <c r="AG8" s="47"/>
      <c r="AH8" s="47"/>
      <c r="AI8" s="47"/>
      <c r="AJ8" s="101"/>
      <c r="AK8" s="2"/>
      <c r="AL8" s="27"/>
      <c r="AM8" s="8"/>
      <c r="AN8" s="69"/>
      <c r="AO8" s="70"/>
      <c r="AP8" s="70"/>
      <c r="AQ8" s="70"/>
      <c r="AR8" s="70"/>
      <c r="AS8" s="70"/>
      <c r="AT8" s="70"/>
      <c r="AU8" s="70"/>
      <c r="AV8" s="105"/>
      <c r="AW8" s="33"/>
      <c r="AX8" s="86"/>
      <c r="AY8" s="34"/>
      <c r="AZ8" s="49"/>
      <c r="BA8" s="47"/>
      <c r="BB8" s="47"/>
      <c r="BC8" s="47"/>
      <c r="BD8" s="47"/>
      <c r="BE8" s="47"/>
      <c r="BF8" s="47"/>
      <c r="BG8" s="47"/>
      <c r="BH8" s="101"/>
      <c r="BI8" s="2"/>
      <c r="BJ8" s="27"/>
      <c r="BK8" s="8"/>
      <c r="BL8" s="37"/>
      <c r="BM8" s="2"/>
      <c r="BN8" s="2"/>
      <c r="BO8" s="8"/>
    </row>
    <row r="9" spans="1:67" ht="21" customHeight="1" x14ac:dyDescent="0.25">
      <c r="A9" s="98"/>
      <c r="B9" s="27"/>
      <c r="C9" s="98"/>
      <c r="D9" s="44"/>
      <c r="E9" s="44"/>
      <c r="F9" s="44"/>
      <c r="G9" s="44"/>
      <c r="H9" s="44"/>
      <c r="I9" s="44"/>
      <c r="J9" s="44"/>
      <c r="K9" s="44"/>
      <c r="L9" s="102"/>
      <c r="M9" s="56"/>
      <c r="N9" s="54"/>
      <c r="O9" s="14"/>
      <c r="P9" s="65"/>
      <c r="Q9" s="66"/>
      <c r="R9" s="66"/>
      <c r="S9" s="66"/>
      <c r="T9" s="66"/>
      <c r="U9" s="66"/>
      <c r="V9" s="66"/>
      <c r="W9" s="66"/>
      <c r="X9" s="106"/>
      <c r="Y9" s="72"/>
      <c r="Z9" s="72"/>
      <c r="AA9" s="68"/>
      <c r="AB9" s="50"/>
      <c r="AC9" s="44"/>
      <c r="AD9" s="44"/>
      <c r="AE9" s="44"/>
      <c r="AF9" s="44"/>
      <c r="AG9" s="44"/>
      <c r="AH9" s="44"/>
      <c r="AI9" s="44"/>
      <c r="AJ9" s="102"/>
      <c r="AK9" s="54"/>
      <c r="AM9" s="59"/>
      <c r="AN9" s="65"/>
      <c r="AO9" s="66"/>
      <c r="AP9" s="66"/>
      <c r="AQ9" s="66"/>
      <c r="AR9" s="66"/>
      <c r="AS9" s="66"/>
      <c r="AT9" s="66"/>
      <c r="AU9" s="66"/>
      <c r="AV9" s="106"/>
      <c r="AW9" s="72"/>
      <c r="AX9" s="84"/>
      <c r="AY9" s="87"/>
      <c r="AZ9" s="50"/>
      <c r="BA9" s="44"/>
      <c r="BB9" s="44"/>
      <c r="BC9" s="44"/>
      <c r="BD9" s="44"/>
      <c r="BE9" s="44"/>
      <c r="BF9" s="44"/>
      <c r="BG9" s="44"/>
      <c r="BH9" s="102"/>
      <c r="BI9" s="54"/>
      <c r="BK9" s="59"/>
      <c r="BL9" s="37"/>
      <c r="BM9" s="2"/>
      <c r="BN9" s="2"/>
      <c r="BO9" s="8"/>
    </row>
    <row r="10" spans="1:67" ht="21" customHeight="1" x14ac:dyDescent="0.25">
      <c r="A10" s="98"/>
      <c r="B10" s="27"/>
      <c r="C10" s="98"/>
      <c r="D10" s="47"/>
      <c r="E10" s="47"/>
      <c r="F10" s="47"/>
      <c r="G10" s="47"/>
      <c r="H10" s="47"/>
      <c r="I10" s="47"/>
      <c r="J10" s="47"/>
      <c r="K10" s="47"/>
      <c r="L10" s="101"/>
      <c r="M10" s="19"/>
      <c r="N10" s="2"/>
      <c r="O10" s="51"/>
      <c r="P10" s="69"/>
      <c r="Q10" s="70"/>
      <c r="R10" s="70"/>
      <c r="S10" s="70"/>
      <c r="T10" s="70"/>
      <c r="U10" s="70"/>
      <c r="V10" s="70"/>
      <c r="W10" s="70"/>
      <c r="X10" s="105"/>
      <c r="Y10" s="33"/>
      <c r="Z10" s="33"/>
      <c r="AA10" s="71"/>
      <c r="AB10" s="49"/>
      <c r="AC10" s="47"/>
      <c r="AD10" s="47"/>
      <c r="AE10" s="47"/>
      <c r="AF10" s="47"/>
      <c r="AG10" s="47"/>
      <c r="AH10" s="47"/>
      <c r="AI10" s="47"/>
      <c r="AJ10" s="101"/>
      <c r="AK10" s="2"/>
      <c r="AL10" s="27"/>
      <c r="AM10" s="8"/>
      <c r="AN10" s="69"/>
      <c r="AO10" s="70"/>
      <c r="AP10" s="70"/>
      <c r="AQ10" s="70"/>
      <c r="AR10" s="70"/>
      <c r="AS10" s="70"/>
      <c r="AT10" s="70"/>
      <c r="AU10" s="70"/>
      <c r="AV10" s="105"/>
      <c r="AW10" s="33"/>
      <c r="AX10" s="86"/>
      <c r="AY10" s="34"/>
      <c r="AZ10" s="49"/>
      <c r="BA10" s="47"/>
      <c r="BB10" s="47"/>
      <c r="BC10" s="47"/>
      <c r="BD10" s="47"/>
      <c r="BE10" s="47"/>
      <c r="BF10" s="47"/>
      <c r="BG10" s="47"/>
      <c r="BH10" s="101"/>
      <c r="BI10" s="2"/>
      <c r="BJ10" s="27"/>
      <c r="BK10" s="8"/>
      <c r="BL10" s="37"/>
      <c r="BM10" s="2"/>
      <c r="BN10" s="2"/>
      <c r="BO10" s="8"/>
    </row>
    <row r="11" spans="1:67" ht="21" customHeight="1" x14ac:dyDescent="0.25">
      <c r="A11" s="98"/>
      <c r="B11" s="27"/>
      <c r="C11" s="98"/>
      <c r="D11" s="47"/>
      <c r="E11" s="47"/>
      <c r="F11" s="47"/>
      <c r="G11" s="47"/>
      <c r="H11" s="47"/>
      <c r="I11" s="47"/>
      <c r="J11" s="47"/>
      <c r="K11" s="47"/>
      <c r="L11" s="101"/>
      <c r="M11" s="19"/>
      <c r="N11" s="2"/>
      <c r="O11" s="51"/>
      <c r="P11" s="69"/>
      <c r="Q11" s="70"/>
      <c r="R11" s="70"/>
      <c r="S11" s="70"/>
      <c r="T11" s="70"/>
      <c r="U11" s="70"/>
      <c r="V11" s="70"/>
      <c r="W11" s="70"/>
      <c r="X11" s="105"/>
      <c r="Y11" s="33"/>
      <c r="Z11" s="33"/>
      <c r="AA11" s="71"/>
      <c r="AB11" s="49"/>
      <c r="AC11" s="47"/>
      <c r="AD11" s="47"/>
      <c r="AE11" s="47"/>
      <c r="AF11" s="47"/>
      <c r="AG11" s="47"/>
      <c r="AH11" s="47"/>
      <c r="AI11" s="47"/>
      <c r="AJ11" s="101"/>
      <c r="AK11" s="2"/>
      <c r="AL11" s="27"/>
      <c r="AM11" s="8"/>
      <c r="AN11" s="69"/>
      <c r="AO11" s="70"/>
      <c r="AP11" s="70"/>
      <c r="AQ11" s="70"/>
      <c r="AR11" s="70"/>
      <c r="AS11" s="70"/>
      <c r="AT11" s="70"/>
      <c r="AU11" s="70"/>
      <c r="AV11" s="105"/>
      <c r="AW11" s="33"/>
      <c r="AX11" s="86"/>
      <c r="AY11" s="34"/>
      <c r="AZ11" s="49"/>
      <c r="BA11" s="47"/>
      <c r="BB11" s="47"/>
      <c r="BC11" s="47"/>
      <c r="BD11" s="47"/>
      <c r="BE11" s="47"/>
      <c r="BF11" s="47"/>
      <c r="BG11" s="47"/>
      <c r="BH11" s="101"/>
      <c r="BI11" s="2"/>
      <c r="BJ11" s="27"/>
      <c r="BK11" s="8"/>
      <c r="BL11" s="37"/>
      <c r="BM11" s="2"/>
      <c r="BN11" s="2"/>
      <c r="BO11" s="8"/>
    </row>
    <row r="12" spans="1:67" ht="21" customHeight="1" x14ac:dyDescent="0.25">
      <c r="A12" s="98"/>
      <c r="B12" s="27"/>
      <c r="C12" s="98"/>
      <c r="D12" s="47"/>
      <c r="E12" s="47"/>
      <c r="F12" s="47"/>
      <c r="G12" s="47"/>
      <c r="H12" s="47"/>
      <c r="I12" s="47"/>
      <c r="J12" s="47"/>
      <c r="K12" s="47"/>
      <c r="L12" s="101"/>
      <c r="M12" s="19"/>
      <c r="N12" s="2"/>
      <c r="O12" s="51"/>
      <c r="P12" s="69"/>
      <c r="Q12" s="70"/>
      <c r="R12" s="70"/>
      <c r="S12" s="70"/>
      <c r="T12" s="70"/>
      <c r="U12" s="70"/>
      <c r="V12" s="70"/>
      <c r="W12" s="70"/>
      <c r="X12" s="105"/>
      <c r="Y12" s="33"/>
      <c r="Z12" s="33"/>
      <c r="AA12" s="71"/>
      <c r="AB12" s="49"/>
      <c r="AC12" s="47"/>
      <c r="AD12" s="47"/>
      <c r="AE12" s="47"/>
      <c r="AF12" s="47"/>
      <c r="AG12" s="47"/>
      <c r="AH12" s="47"/>
      <c r="AI12" s="47"/>
      <c r="AJ12" s="101"/>
      <c r="AK12" s="2"/>
      <c r="AL12" s="27"/>
      <c r="AM12" s="8"/>
      <c r="AN12" s="69"/>
      <c r="AO12" s="70"/>
      <c r="AP12" s="70"/>
      <c r="AQ12" s="70"/>
      <c r="AR12" s="70"/>
      <c r="AS12" s="70"/>
      <c r="AT12" s="70"/>
      <c r="AU12" s="70"/>
      <c r="AV12" s="105"/>
      <c r="AW12" s="33"/>
      <c r="AX12" s="86"/>
      <c r="AY12" s="34"/>
      <c r="AZ12" s="49"/>
      <c r="BA12" s="47"/>
      <c r="BB12" s="47"/>
      <c r="BC12" s="47"/>
      <c r="BD12" s="47"/>
      <c r="BE12" s="47"/>
      <c r="BF12" s="47"/>
      <c r="BG12" s="47"/>
      <c r="BH12" s="101"/>
      <c r="BI12" s="2"/>
      <c r="BJ12" s="27"/>
      <c r="BK12" s="8"/>
      <c r="BL12" s="37"/>
      <c r="BM12" s="2"/>
      <c r="BN12" s="2"/>
      <c r="BO12" s="8"/>
    </row>
    <row r="13" spans="1:67" ht="21" customHeight="1" thickBot="1" x14ac:dyDescent="0.3">
      <c r="A13" s="99"/>
      <c r="B13" s="28"/>
      <c r="C13" s="99"/>
      <c r="D13" s="46"/>
      <c r="E13" s="46"/>
      <c r="F13" s="46"/>
      <c r="G13" s="46"/>
      <c r="H13" s="46"/>
      <c r="I13" s="46"/>
      <c r="J13" s="46"/>
      <c r="K13" s="46"/>
      <c r="L13" s="103"/>
      <c r="M13" s="57"/>
      <c r="N13" s="32"/>
      <c r="O13" s="36"/>
      <c r="P13" s="73"/>
      <c r="Q13" s="74"/>
      <c r="R13" s="74"/>
      <c r="S13" s="74"/>
      <c r="T13" s="74"/>
      <c r="U13" s="74"/>
      <c r="V13" s="74"/>
      <c r="W13" s="74"/>
      <c r="X13" s="107"/>
      <c r="Y13" s="75"/>
      <c r="Z13" s="75"/>
      <c r="AA13" s="76"/>
      <c r="AB13" s="52"/>
      <c r="AC13" s="46"/>
      <c r="AD13" s="46"/>
      <c r="AE13" s="46"/>
      <c r="AF13" s="46"/>
      <c r="AG13" s="46"/>
      <c r="AH13" s="46"/>
      <c r="AI13" s="46"/>
      <c r="AJ13" s="103"/>
      <c r="AK13" s="32"/>
      <c r="AL13" s="35"/>
      <c r="AM13" s="60"/>
      <c r="AN13" s="73"/>
      <c r="AO13" s="74"/>
      <c r="AP13" s="74"/>
      <c r="AQ13" s="74"/>
      <c r="AR13" s="74"/>
      <c r="AS13" s="74"/>
      <c r="AT13" s="74"/>
      <c r="AU13" s="74"/>
      <c r="AV13" s="107"/>
      <c r="AW13" s="75"/>
      <c r="AX13" s="88"/>
      <c r="AY13" s="89"/>
      <c r="AZ13" s="52"/>
      <c r="BA13" s="46"/>
      <c r="BB13" s="46"/>
      <c r="BC13" s="46"/>
      <c r="BD13" s="46"/>
      <c r="BE13" s="46"/>
      <c r="BF13" s="46"/>
      <c r="BG13" s="46"/>
      <c r="BH13" s="103"/>
      <c r="BI13" s="32"/>
      <c r="BJ13" s="35"/>
      <c r="BK13" s="60"/>
      <c r="BL13" s="37"/>
      <c r="BM13" s="10"/>
      <c r="BN13" s="10"/>
      <c r="BO13" s="12"/>
    </row>
    <row r="14" spans="1:67" ht="6" customHeight="1" thickBot="1" x14ac:dyDescent="0.3"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L14" s="37"/>
    </row>
    <row r="15" spans="1:67" ht="21" customHeight="1" x14ac:dyDescent="0.25">
      <c r="A15" s="97"/>
      <c r="B15" s="26"/>
      <c r="C15" s="23"/>
      <c r="D15" s="45"/>
      <c r="E15" s="45"/>
      <c r="F15" s="45"/>
      <c r="G15" s="45"/>
      <c r="H15" s="45"/>
      <c r="I15" s="45"/>
      <c r="J15" s="45"/>
      <c r="K15" s="45"/>
      <c r="L15" s="45"/>
      <c r="M15" s="55"/>
      <c r="N15" s="55"/>
      <c r="O15" s="58"/>
      <c r="P15" s="77"/>
      <c r="Q15" s="78"/>
      <c r="R15" s="78"/>
      <c r="S15" s="78"/>
      <c r="T15" s="78"/>
      <c r="U15" s="78"/>
      <c r="V15" s="78"/>
      <c r="W15" s="78"/>
      <c r="X15" s="78"/>
      <c r="Y15" s="79"/>
      <c r="Z15" s="67"/>
      <c r="AA15" s="80"/>
      <c r="AB15" s="48"/>
      <c r="AC15" s="45"/>
      <c r="AD15" s="45"/>
      <c r="AE15" s="45"/>
      <c r="AF15" s="45"/>
      <c r="AG15" s="45"/>
      <c r="AH15" s="45"/>
      <c r="AI15" s="45"/>
      <c r="AJ15" s="45"/>
      <c r="AK15" s="55"/>
      <c r="AL15" s="55"/>
      <c r="AM15" s="58"/>
      <c r="AN15" s="77"/>
      <c r="AO15" s="78"/>
      <c r="AP15" s="78"/>
      <c r="AQ15" s="78"/>
      <c r="AR15" s="78"/>
      <c r="AS15" s="78"/>
      <c r="AT15" s="78"/>
      <c r="AU15" s="78"/>
      <c r="AV15" s="78"/>
      <c r="AW15" s="79"/>
      <c r="AX15" s="79"/>
      <c r="AY15" s="85"/>
      <c r="AZ15" s="48"/>
      <c r="BA15" s="45"/>
      <c r="BB15" s="45"/>
      <c r="BC15" s="45"/>
      <c r="BD15" s="45"/>
      <c r="BE15" s="45"/>
      <c r="BF15" s="45"/>
      <c r="BG15" s="45"/>
      <c r="BH15" s="45"/>
      <c r="BI15" s="55"/>
      <c r="BJ15" s="55"/>
      <c r="BK15" s="58"/>
      <c r="BL15" s="37"/>
      <c r="BM15" s="18"/>
      <c r="BN15" s="4"/>
      <c r="BO15" s="6"/>
    </row>
    <row r="16" spans="1:67" ht="21" customHeight="1" x14ac:dyDescent="0.25">
      <c r="A16" s="98"/>
      <c r="B16" s="27"/>
      <c r="C16" s="24"/>
      <c r="D16" s="47"/>
      <c r="E16" s="47"/>
      <c r="F16" s="47"/>
      <c r="G16" s="47"/>
      <c r="H16" s="47"/>
      <c r="I16" s="47"/>
      <c r="J16" s="47"/>
      <c r="K16" s="47"/>
      <c r="L16" s="47"/>
      <c r="M16" s="19"/>
      <c r="N16" s="19"/>
      <c r="O16" s="8"/>
      <c r="P16" s="69"/>
      <c r="Q16" s="70"/>
      <c r="R16" s="70"/>
      <c r="S16" s="70"/>
      <c r="T16" s="70"/>
      <c r="U16" s="70"/>
      <c r="V16" s="70"/>
      <c r="W16" s="70"/>
      <c r="X16" s="70"/>
      <c r="Y16" s="81"/>
      <c r="Z16" s="33"/>
      <c r="AA16" s="71"/>
      <c r="AB16" s="49"/>
      <c r="AC16" s="47"/>
      <c r="AD16" s="47"/>
      <c r="AE16" s="47"/>
      <c r="AF16" s="47"/>
      <c r="AG16" s="47"/>
      <c r="AH16" s="47"/>
      <c r="AI16" s="47"/>
      <c r="AJ16" s="47"/>
      <c r="AK16" s="19"/>
      <c r="AL16" s="19"/>
      <c r="AM16" s="8"/>
      <c r="AN16" s="69"/>
      <c r="AO16" s="70"/>
      <c r="AP16" s="70"/>
      <c r="AQ16" s="70"/>
      <c r="AR16" s="70"/>
      <c r="AS16" s="70"/>
      <c r="AT16" s="70"/>
      <c r="AU16" s="70"/>
      <c r="AV16" s="70"/>
      <c r="AW16" s="81"/>
      <c r="AX16" s="81"/>
      <c r="AY16" s="34"/>
      <c r="AZ16" s="49"/>
      <c r="BA16" s="47"/>
      <c r="BB16" s="47"/>
      <c r="BC16" s="47"/>
      <c r="BD16" s="47"/>
      <c r="BE16" s="47"/>
      <c r="BF16" s="47"/>
      <c r="BG16" s="47"/>
      <c r="BH16" s="47"/>
      <c r="BI16" s="19"/>
      <c r="BJ16" s="19"/>
      <c r="BK16" s="8"/>
      <c r="BL16" s="37"/>
      <c r="BM16" s="13"/>
      <c r="BN16" s="2"/>
      <c r="BO16" s="8"/>
    </row>
    <row r="17" spans="1:67" ht="21" customHeight="1" x14ac:dyDescent="0.25">
      <c r="A17" s="98"/>
      <c r="B17" s="27"/>
      <c r="C17" s="24"/>
      <c r="D17" s="44"/>
      <c r="E17" s="44"/>
      <c r="F17" s="44"/>
      <c r="G17" s="44"/>
      <c r="H17" s="44"/>
      <c r="I17" s="44"/>
      <c r="J17" s="44"/>
      <c r="K17" s="44"/>
      <c r="L17" s="44"/>
      <c r="M17" s="56"/>
      <c r="N17" s="56"/>
      <c r="O17" s="59"/>
      <c r="P17" s="65"/>
      <c r="Q17" s="66"/>
      <c r="R17" s="66"/>
      <c r="S17" s="66"/>
      <c r="T17" s="66"/>
      <c r="U17" s="66"/>
      <c r="V17" s="66"/>
      <c r="W17" s="66"/>
      <c r="X17" s="66"/>
      <c r="Y17" s="82"/>
      <c r="Z17" s="72"/>
      <c r="AA17" s="68"/>
      <c r="AB17" s="50"/>
      <c r="AC17" s="44"/>
      <c r="AD17" s="44"/>
      <c r="AE17" s="44"/>
      <c r="AF17" s="44"/>
      <c r="AG17" s="44"/>
      <c r="AH17" s="44"/>
      <c r="AI17" s="44"/>
      <c r="AJ17" s="44"/>
      <c r="AK17" s="56"/>
      <c r="AL17" s="56"/>
      <c r="AM17" s="59"/>
      <c r="AN17" s="65"/>
      <c r="AO17" s="66"/>
      <c r="AP17" s="66"/>
      <c r="AQ17" s="66"/>
      <c r="AR17" s="66"/>
      <c r="AS17" s="66"/>
      <c r="AT17" s="66"/>
      <c r="AU17" s="66"/>
      <c r="AV17" s="66"/>
      <c r="AW17" s="82"/>
      <c r="AX17" s="82"/>
      <c r="AY17" s="87"/>
      <c r="AZ17" s="50"/>
      <c r="BA17" s="44"/>
      <c r="BB17" s="44"/>
      <c r="BC17" s="44"/>
      <c r="BD17" s="44"/>
      <c r="BE17" s="44"/>
      <c r="BF17" s="44"/>
      <c r="BG17" s="44"/>
      <c r="BH17" s="44"/>
      <c r="BI17" s="56"/>
      <c r="BJ17" s="56"/>
      <c r="BK17" s="59"/>
      <c r="BL17" s="37"/>
      <c r="BM17" s="13"/>
      <c r="BN17" s="2"/>
      <c r="BO17" s="8"/>
    </row>
    <row r="18" spans="1:67" ht="21" customHeight="1" x14ac:dyDescent="0.25">
      <c r="A18" s="98"/>
      <c r="B18" s="27"/>
      <c r="C18" s="24"/>
      <c r="D18" s="47"/>
      <c r="E18" s="47"/>
      <c r="F18" s="47"/>
      <c r="G18" s="47"/>
      <c r="H18" s="47"/>
      <c r="I18" s="47"/>
      <c r="J18" s="47"/>
      <c r="K18" s="47"/>
      <c r="L18" s="47"/>
      <c r="M18" s="19"/>
      <c r="N18" s="19"/>
      <c r="O18" s="8"/>
      <c r="P18" s="69"/>
      <c r="Q18" s="70"/>
      <c r="R18" s="70"/>
      <c r="S18" s="70"/>
      <c r="T18" s="70"/>
      <c r="U18" s="70"/>
      <c r="V18" s="70"/>
      <c r="W18" s="70"/>
      <c r="X18" s="70"/>
      <c r="Y18" s="81"/>
      <c r="Z18" s="33"/>
      <c r="AA18" s="71"/>
      <c r="AB18" s="49"/>
      <c r="AC18" s="47"/>
      <c r="AD18" s="47"/>
      <c r="AE18" s="47"/>
      <c r="AF18" s="47"/>
      <c r="AG18" s="47"/>
      <c r="AH18" s="47"/>
      <c r="AI18" s="47"/>
      <c r="AJ18" s="47"/>
      <c r="AK18" s="19"/>
      <c r="AL18" s="19"/>
      <c r="AM18" s="8"/>
      <c r="AN18" s="69"/>
      <c r="AO18" s="70"/>
      <c r="AP18" s="70"/>
      <c r="AQ18" s="70"/>
      <c r="AR18" s="70"/>
      <c r="AS18" s="70"/>
      <c r="AT18" s="70"/>
      <c r="AU18" s="70"/>
      <c r="AV18" s="70"/>
      <c r="AW18" s="81"/>
      <c r="AX18" s="81"/>
      <c r="AY18" s="34"/>
      <c r="AZ18" s="49"/>
      <c r="BA18" s="47"/>
      <c r="BB18" s="47"/>
      <c r="BC18" s="47"/>
      <c r="BD18" s="47"/>
      <c r="BE18" s="47"/>
      <c r="BF18" s="47"/>
      <c r="BG18" s="47"/>
      <c r="BH18" s="47"/>
      <c r="BI18" s="19"/>
      <c r="BJ18" s="19"/>
      <c r="BK18" s="8"/>
      <c r="BL18" s="37"/>
      <c r="BM18" s="13"/>
      <c r="BN18" s="2"/>
      <c r="BO18" s="8"/>
    </row>
    <row r="19" spans="1:67" ht="21" customHeight="1" x14ac:dyDescent="0.25">
      <c r="A19" s="24"/>
      <c r="B19" s="27"/>
      <c r="C19" s="24"/>
      <c r="D19" s="47"/>
      <c r="E19" s="47"/>
      <c r="F19" s="47"/>
      <c r="G19" s="47"/>
      <c r="H19" s="47"/>
      <c r="I19" s="47"/>
      <c r="J19" s="47"/>
      <c r="K19" s="47"/>
      <c r="L19" s="47"/>
      <c r="M19" s="19"/>
      <c r="N19" s="19"/>
      <c r="O19" s="8"/>
      <c r="P19" s="69"/>
      <c r="Q19" s="70"/>
      <c r="R19" s="70"/>
      <c r="S19" s="70"/>
      <c r="T19" s="70"/>
      <c r="U19" s="70"/>
      <c r="V19" s="70"/>
      <c r="W19" s="70"/>
      <c r="X19" s="70"/>
      <c r="Y19" s="81"/>
      <c r="Z19" s="33"/>
      <c r="AA19" s="71"/>
      <c r="AB19" s="49"/>
      <c r="AC19" s="47"/>
      <c r="AD19" s="47"/>
      <c r="AE19" s="47"/>
      <c r="AF19" s="47"/>
      <c r="AG19" s="47"/>
      <c r="AH19" s="47"/>
      <c r="AI19" s="47"/>
      <c r="AJ19" s="47"/>
      <c r="AK19" s="19"/>
      <c r="AL19" s="19"/>
      <c r="AM19" s="8"/>
      <c r="AN19" s="69"/>
      <c r="AO19" s="70"/>
      <c r="AP19" s="70"/>
      <c r="AQ19" s="70"/>
      <c r="AR19" s="70"/>
      <c r="AS19" s="70"/>
      <c r="AT19" s="70"/>
      <c r="AU19" s="70"/>
      <c r="AV19" s="70"/>
      <c r="AW19" s="81"/>
      <c r="AX19" s="81"/>
      <c r="AY19" s="34"/>
      <c r="AZ19" s="49"/>
      <c r="BA19" s="47"/>
      <c r="BB19" s="47"/>
      <c r="BC19" s="47"/>
      <c r="BD19" s="47"/>
      <c r="BE19" s="47"/>
      <c r="BF19" s="47"/>
      <c r="BG19" s="47"/>
      <c r="BH19" s="47"/>
      <c r="BI19" s="19"/>
      <c r="BJ19" s="19"/>
      <c r="BK19" s="8"/>
      <c r="BL19" s="37"/>
      <c r="BM19" s="13"/>
      <c r="BN19" s="2"/>
      <c r="BO19" s="8"/>
    </row>
    <row r="20" spans="1:67" ht="21" customHeight="1" x14ac:dyDescent="0.25">
      <c r="A20" s="24"/>
      <c r="B20" s="27"/>
      <c r="C20" s="24"/>
      <c r="D20" s="44"/>
      <c r="E20" s="44"/>
      <c r="F20" s="44"/>
      <c r="G20" s="44"/>
      <c r="H20" s="44"/>
      <c r="I20" s="44"/>
      <c r="J20" s="44"/>
      <c r="K20" s="44"/>
      <c r="L20" s="44"/>
      <c r="M20" s="56"/>
      <c r="N20" s="56"/>
      <c r="O20" s="59"/>
      <c r="P20" s="65"/>
      <c r="Q20" s="66"/>
      <c r="R20" s="66"/>
      <c r="S20" s="66"/>
      <c r="T20" s="66"/>
      <c r="U20" s="66"/>
      <c r="V20" s="66"/>
      <c r="W20" s="66"/>
      <c r="X20" s="66"/>
      <c r="Y20" s="82"/>
      <c r="Z20" s="72"/>
      <c r="AA20" s="68"/>
      <c r="AB20" s="50"/>
      <c r="AC20" s="44"/>
      <c r="AD20" s="44"/>
      <c r="AE20" s="44"/>
      <c r="AF20" s="44"/>
      <c r="AG20" s="44"/>
      <c r="AH20" s="44"/>
      <c r="AI20" s="44"/>
      <c r="AJ20" s="44"/>
      <c r="AK20" s="56"/>
      <c r="AL20" s="56"/>
      <c r="AM20" s="59"/>
      <c r="AN20" s="65"/>
      <c r="AO20" s="66"/>
      <c r="AP20" s="66"/>
      <c r="AQ20" s="66"/>
      <c r="AR20" s="66"/>
      <c r="AS20" s="66"/>
      <c r="AT20" s="66"/>
      <c r="AU20" s="66"/>
      <c r="AV20" s="66"/>
      <c r="AW20" s="82"/>
      <c r="AX20" s="82"/>
      <c r="AY20" s="87"/>
      <c r="AZ20" s="50"/>
      <c r="BA20" s="44"/>
      <c r="BB20" s="44"/>
      <c r="BC20" s="44"/>
      <c r="BD20" s="44"/>
      <c r="BE20" s="44"/>
      <c r="BF20" s="44"/>
      <c r="BG20" s="44"/>
      <c r="BH20" s="44"/>
      <c r="BI20" s="56"/>
      <c r="BJ20" s="56"/>
      <c r="BK20" s="59"/>
      <c r="BL20" s="37"/>
      <c r="BM20" s="13"/>
      <c r="BN20" s="2"/>
      <c r="BO20" s="8"/>
    </row>
    <row r="21" spans="1:67" ht="21" customHeight="1" x14ac:dyDescent="0.25">
      <c r="A21" s="24"/>
      <c r="B21" s="27"/>
      <c r="C21" s="24"/>
      <c r="D21" s="47"/>
      <c r="E21" s="47"/>
      <c r="F21" s="47"/>
      <c r="G21" s="47"/>
      <c r="H21" s="47"/>
      <c r="I21" s="47"/>
      <c r="J21" s="47"/>
      <c r="K21" s="47"/>
      <c r="L21" s="47"/>
      <c r="M21" s="19"/>
      <c r="N21" s="19"/>
      <c r="O21" s="8"/>
      <c r="P21" s="69"/>
      <c r="Q21" s="70"/>
      <c r="R21" s="70"/>
      <c r="S21" s="70"/>
      <c r="T21" s="70"/>
      <c r="U21" s="70"/>
      <c r="V21" s="70"/>
      <c r="W21" s="70"/>
      <c r="X21" s="70"/>
      <c r="Y21" s="81"/>
      <c r="Z21" s="33"/>
      <c r="AA21" s="71"/>
      <c r="AB21" s="49"/>
      <c r="AC21" s="47"/>
      <c r="AD21" s="47"/>
      <c r="AE21" s="47"/>
      <c r="AF21" s="47"/>
      <c r="AG21" s="47"/>
      <c r="AH21" s="47"/>
      <c r="AI21" s="47"/>
      <c r="AJ21" s="47"/>
      <c r="AK21" s="19"/>
      <c r="AL21" s="19"/>
      <c r="AM21" s="8"/>
      <c r="AN21" s="69"/>
      <c r="AO21" s="70"/>
      <c r="AP21" s="70"/>
      <c r="AQ21" s="70"/>
      <c r="AR21" s="70"/>
      <c r="AS21" s="70"/>
      <c r="AT21" s="70"/>
      <c r="AU21" s="70"/>
      <c r="AV21" s="70"/>
      <c r="AW21" s="81"/>
      <c r="AX21" s="81"/>
      <c r="AY21" s="34"/>
      <c r="AZ21" s="49"/>
      <c r="BA21" s="47"/>
      <c r="BB21" s="47"/>
      <c r="BC21" s="47"/>
      <c r="BD21" s="47"/>
      <c r="BE21" s="47"/>
      <c r="BF21" s="47"/>
      <c r="BG21" s="47"/>
      <c r="BH21" s="47"/>
      <c r="BI21" s="19"/>
      <c r="BJ21" s="19"/>
      <c r="BK21" s="8"/>
      <c r="BL21" s="37"/>
      <c r="BM21" s="13"/>
      <c r="BN21" s="2"/>
      <c r="BO21" s="8"/>
    </row>
    <row r="22" spans="1:67" ht="21" customHeight="1" thickBot="1" x14ac:dyDescent="0.3">
      <c r="A22" s="25"/>
      <c r="B22" s="28"/>
      <c r="C22" s="25"/>
      <c r="D22" s="46"/>
      <c r="E22" s="46"/>
      <c r="F22" s="46"/>
      <c r="G22" s="46"/>
      <c r="H22" s="46"/>
      <c r="I22" s="46"/>
      <c r="J22" s="46"/>
      <c r="K22" s="46"/>
      <c r="L22" s="46"/>
      <c r="M22" s="57"/>
      <c r="N22" s="57"/>
      <c r="O22" s="60"/>
      <c r="P22" s="73"/>
      <c r="Q22" s="74"/>
      <c r="R22" s="74"/>
      <c r="S22" s="74"/>
      <c r="T22" s="74"/>
      <c r="U22" s="74"/>
      <c r="V22" s="74"/>
      <c r="W22" s="74"/>
      <c r="X22" s="74"/>
      <c r="Y22" s="83"/>
      <c r="Z22" s="75"/>
      <c r="AA22" s="76"/>
      <c r="AB22" s="52"/>
      <c r="AC22" s="46"/>
      <c r="AD22" s="46"/>
      <c r="AE22" s="46"/>
      <c r="AF22" s="46"/>
      <c r="AG22" s="46"/>
      <c r="AH22" s="46"/>
      <c r="AI22" s="46"/>
      <c r="AJ22" s="46"/>
      <c r="AK22" s="57"/>
      <c r="AL22" s="57"/>
      <c r="AM22" s="60"/>
      <c r="AN22" s="73"/>
      <c r="AO22" s="74"/>
      <c r="AP22" s="74"/>
      <c r="AQ22" s="74"/>
      <c r="AR22" s="74"/>
      <c r="AS22" s="74"/>
      <c r="AT22" s="74"/>
      <c r="AU22" s="74"/>
      <c r="AV22" s="74"/>
      <c r="AW22" s="83"/>
      <c r="AX22" s="83"/>
      <c r="AY22" s="89"/>
      <c r="AZ22" s="52"/>
      <c r="BA22" s="46"/>
      <c r="BB22" s="46"/>
      <c r="BC22" s="46"/>
      <c r="BD22" s="46"/>
      <c r="BE22" s="46"/>
      <c r="BF22" s="46"/>
      <c r="BG22" s="46"/>
      <c r="BH22" s="46"/>
      <c r="BI22" s="57"/>
      <c r="BJ22" s="57"/>
      <c r="BK22" s="60"/>
      <c r="BL22" s="37"/>
      <c r="BM22" s="38"/>
      <c r="BN22" s="30"/>
      <c r="BO22" s="31"/>
    </row>
    <row r="23" spans="1:67" ht="15.75" thickBot="1" x14ac:dyDescent="0.3">
      <c r="B23" s="29" t="s">
        <v>35</v>
      </c>
      <c r="D23" s="39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2"/>
      <c r="P23" s="39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1"/>
      <c r="AB23" s="43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2"/>
      <c r="AN23" s="39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1"/>
      <c r="AZ23" s="39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1"/>
      <c r="BL23" s="43"/>
      <c r="BM23" s="40"/>
      <c r="BN23" s="40"/>
      <c r="BO23" s="41"/>
    </row>
  </sheetData>
  <mergeCells count="9">
    <mergeCell ref="AN1:AY1"/>
    <mergeCell ref="AZ1:BK1"/>
    <mergeCell ref="BM1:BO1"/>
    <mergeCell ref="A1:A2"/>
    <mergeCell ref="B1:B2"/>
    <mergeCell ref="C1:C2"/>
    <mergeCell ref="D1:O1"/>
    <mergeCell ref="P1:AA1"/>
    <mergeCell ref="AB1:AM1"/>
  </mergeCells>
  <pageMargins left="0" right="0" top="0.35433070866141736" bottom="0.15748031496062992" header="0.31496062992125984" footer="0.31496062992125984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0EA1-EE6E-4E69-8DF0-64C6D99A3F66}">
  <dimension ref="A1:P19"/>
  <sheetViews>
    <sheetView workbookViewId="0">
      <selection activeCell="A19" sqref="A19"/>
    </sheetView>
  </sheetViews>
  <sheetFormatPr baseColWidth="10" defaultRowHeight="15" x14ac:dyDescent="0.25"/>
  <cols>
    <col min="2" max="2" width="13.85546875" customWidth="1"/>
    <col min="3" max="4" width="4.28515625" customWidth="1"/>
    <col min="5" max="5" width="2.28515625" bestFit="1" customWidth="1"/>
    <col min="6" max="8" width="2" bestFit="1" customWidth="1"/>
    <col min="9" max="9" width="2.140625" bestFit="1" customWidth="1"/>
    <col min="10" max="10" width="2" bestFit="1" customWidth="1"/>
    <col min="11" max="11" width="2.140625" bestFit="1" customWidth="1"/>
    <col min="12" max="12" width="3" bestFit="1" customWidth="1"/>
    <col min="13" max="13" width="2" bestFit="1" customWidth="1"/>
    <col min="14" max="14" width="2.28515625" bestFit="1" customWidth="1"/>
    <col min="15" max="15" width="2.140625" customWidth="1"/>
    <col min="16" max="16" width="11.140625" customWidth="1"/>
  </cols>
  <sheetData>
    <row r="1" spans="1:16" ht="15.75" thickBot="1" x14ac:dyDescent="0.3">
      <c r="A1" s="191" t="s">
        <v>26</v>
      </c>
      <c r="B1" s="193" t="s">
        <v>27</v>
      </c>
      <c r="C1" s="158"/>
      <c r="D1" s="158"/>
      <c r="E1" s="197">
        <v>45806</v>
      </c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7"/>
    </row>
    <row r="2" spans="1:16" ht="15.75" thickBot="1" x14ac:dyDescent="0.3">
      <c r="A2" s="192"/>
      <c r="B2" s="194"/>
      <c r="C2" s="159" t="s">
        <v>115</v>
      </c>
      <c r="D2" s="159" t="s">
        <v>116</v>
      </c>
      <c r="E2" s="169" t="s">
        <v>28</v>
      </c>
      <c r="F2" s="170">
        <v>2</v>
      </c>
      <c r="G2" s="170">
        <v>3</v>
      </c>
      <c r="H2" s="170">
        <v>4</v>
      </c>
      <c r="I2" s="170" t="s">
        <v>38</v>
      </c>
      <c r="J2" s="170" t="s">
        <v>32</v>
      </c>
      <c r="K2" s="170" t="s">
        <v>39</v>
      </c>
      <c r="L2" s="170" t="s">
        <v>29</v>
      </c>
      <c r="M2" s="170" t="s">
        <v>49</v>
      </c>
      <c r="N2" s="170" t="s">
        <v>33</v>
      </c>
      <c r="O2" s="170" t="s">
        <v>36</v>
      </c>
      <c r="P2" s="171" t="s">
        <v>114</v>
      </c>
    </row>
    <row r="3" spans="1:16" x14ac:dyDescent="0.25">
      <c r="A3" s="166">
        <v>11</v>
      </c>
      <c r="B3" s="172" t="s">
        <v>48</v>
      </c>
      <c r="C3" s="173">
        <v>4</v>
      </c>
      <c r="D3" s="173">
        <v>4</v>
      </c>
      <c r="E3" s="173">
        <v>1</v>
      </c>
      <c r="F3" s="173"/>
      <c r="G3" s="173">
        <v>1</v>
      </c>
      <c r="H3" s="173"/>
      <c r="I3" s="173"/>
      <c r="J3" s="173"/>
      <c r="K3" s="173">
        <v>1</v>
      </c>
      <c r="L3" s="173">
        <v>3</v>
      </c>
      <c r="M3" s="173"/>
      <c r="N3" s="5"/>
      <c r="O3" s="5">
        <v>1</v>
      </c>
      <c r="P3" s="174">
        <f>(1000/D3*E3)</f>
        <v>250</v>
      </c>
    </row>
    <row r="4" spans="1:16" x14ac:dyDescent="0.25">
      <c r="A4" s="167">
        <v>81</v>
      </c>
      <c r="B4" s="13" t="s">
        <v>100</v>
      </c>
      <c r="C4" s="1">
        <v>2</v>
      </c>
      <c r="D4" s="1">
        <v>2</v>
      </c>
      <c r="E4" s="164">
        <v>0</v>
      </c>
      <c r="F4" s="164"/>
      <c r="G4" s="164"/>
      <c r="H4" s="164"/>
      <c r="I4" s="164"/>
      <c r="J4" s="164"/>
      <c r="K4" s="164"/>
      <c r="L4" s="164">
        <v>2</v>
      </c>
      <c r="M4" s="164"/>
      <c r="N4" s="1"/>
      <c r="O4" s="1"/>
      <c r="P4" s="175">
        <f t="shared" ref="P4:P19" si="0">(1000/D4*E4)</f>
        <v>0</v>
      </c>
    </row>
    <row r="5" spans="1:16" x14ac:dyDescent="0.25">
      <c r="A5" s="167">
        <v>2</v>
      </c>
      <c r="B5" s="13" t="s">
        <v>105</v>
      </c>
      <c r="C5" s="1">
        <v>3</v>
      </c>
      <c r="D5" s="1">
        <v>2</v>
      </c>
      <c r="E5" s="164">
        <v>2</v>
      </c>
      <c r="F5" s="164">
        <v>1</v>
      </c>
      <c r="G5" s="164"/>
      <c r="H5" s="164"/>
      <c r="I5" s="164">
        <v>1</v>
      </c>
      <c r="J5" s="164"/>
      <c r="K5" s="164"/>
      <c r="L5" s="164">
        <v>0</v>
      </c>
      <c r="M5" s="164"/>
      <c r="N5" s="1">
        <v>1</v>
      </c>
      <c r="O5" s="1"/>
      <c r="P5" s="175">
        <f t="shared" si="0"/>
        <v>1000</v>
      </c>
    </row>
    <row r="6" spans="1:16" x14ac:dyDescent="0.25">
      <c r="A6" s="167">
        <v>8</v>
      </c>
      <c r="B6" s="13" t="s">
        <v>106</v>
      </c>
      <c r="C6" s="1">
        <v>3</v>
      </c>
      <c r="D6" s="1">
        <v>2</v>
      </c>
      <c r="E6" s="164">
        <v>1</v>
      </c>
      <c r="F6" s="164"/>
      <c r="G6" s="164"/>
      <c r="H6" s="164"/>
      <c r="I6" s="164">
        <v>1</v>
      </c>
      <c r="J6" s="164"/>
      <c r="K6" s="164"/>
      <c r="L6" s="164">
        <v>1</v>
      </c>
      <c r="M6" s="164"/>
      <c r="N6" s="1">
        <v>1</v>
      </c>
      <c r="O6" s="1"/>
      <c r="P6" s="175">
        <f t="shared" si="0"/>
        <v>500</v>
      </c>
    </row>
    <row r="7" spans="1:16" x14ac:dyDescent="0.25">
      <c r="A7" s="167">
        <v>22</v>
      </c>
      <c r="B7" s="13" t="s">
        <v>104</v>
      </c>
      <c r="C7" s="1">
        <v>2</v>
      </c>
      <c r="D7" s="1">
        <v>2</v>
      </c>
      <c r="E7" s="164">
        <v>0</v>
      </c>
      <c r="F7" s="164"/>
      <c r="G7" s="164"/>
      <c r="H7" s="164"/>
      <c r="I7" s="164"/>
      <c r="J7" s="164"/>
      <c r="K7" s="164">
        <v>1</v>
      </c>
      <c r="L7" s="164">
        <v>2</v>
      </c>
      <c r="M7" s="164"/>
      <c r="N7" s="1"/>
      <c r="O7" s="1"/>
      <c r="P7" s="175">
        <f t="shared" si="0"/>
        <v>0</v>
      </c>
    </row>
    <row r="8" spans="1:16" x14ac:dyDescent="0.25">
      <c r="A8" s="167">
        <v>3</v>
      </c>
      <c r="B8" s="13" t="s">
        <v>107</v>
      </c>
      <c r="C8" s="1">
        <v>3</v>
      </c>
      <c r="D8" s="1">
        <v>3</v>
      </c>
      <c r="E8" s="164">
        <v>1</v>
      </c>
      <c r="F8" s="164"/>
      <c r="G8" s="164">
        <v>1</v>
      </c>
      <c r="H8" s="164"/>
      <c r="I8" s="164"/>
      <c r="J8" s="164"/>
      <c r="K8" s="164"/>
      <c r="L8" s="164">
        <v>2</v>
      </c>
      <c r="M8" s="164"/>
      <c r="N8" s="1"/>
      <c r="O8" s="1">
        <v>2</v>
      </c>
      <c r="P8" s="175">
        <f t="shared" si="0"/>
        <v>333.33333333333331</v>
      </c>
    </row>
    <row r="9" spans="1:16" x14ac:dyDescent="0.25">
      <c r="A9" s="167">
        <v>28</v>
      </c>
      <c r="B9" s="13" t="s">
        <v>108</v>
      </c>
      <c r="C9" s="1">
        <v>2</v>
      </c>
      <c r="D9" s="1">
        <v>2</v>
      </c>
      <c r="E9" s="164">
        <v>0</v>
      </c>
      <c r="F9" s="164"/>
      <c r="G9" s="164"/>
      <c r="H9" s="164"/>
      <c r="I9" s="164"/>
      <c r="J9" s="164"/>
      <c r="K9" s="164">
        <v>1</v>
      </c>
      <c r="L9" s="164">
        <v>2</v>
      </c>
      <c r="M9" s="164"/>
      <c r="N9" s="1"/>
      <c r="O9" s="1"/>
      <c r="P9" s="175">
        <f t="shared" si="0"/>
        <v>0</v>
      </c>
    </row>
    <row r="10" spans="1:16" x14ac:dyDescent="0.25">
      <c r="A10" s="167">
        <v>23</v>
      </c>
      <c r="B10" s="13" t="s">
        <v>92</v>
      </c>
      <c r="C10" s="1">
        <v>2</v>
      </c>
      <c r="D10" s="1">
        <v>2</v>
      </c>
      <c r="E10" s="164">
        <v>0</v>
      </c>
      <c r="F10" s="164"/>
      <c r="G10" s="164"/>
      <c r="H10" s="164"/>
      <c r="I10" s="164"/>
      <c r="J10" s="164"/>
      <c r="K10" s="164"/>
      <c r="L10" s="164">
        <v>2</v>
      </c>
      <c r="M10" s="164"/>
      <c r="N10" s="1"/>
      <c r="O10" s="1"/>
      <c r="P10" s="175">
        <f t="shared" si="0"/>
        <v>0</v>
      </c>
    </row>
    <row r="11" spans="1:16" x14ac:dyDescent="0.25">
      <c r="A11" s="167">
        <v>60</v>
      </c>
      <c r="B11" s="13" t="s">
        <v>109</v>
      </c>
      <c r="C11" s="1">
        <v>2</v>
      </c>
      <c r="D11" s="1">
        <v>2</v>
      </c>
      <c r="E11" s="164">
        <v>0</v>
      </c>
      <c r="F11" s="164"/>
      <c r="G11" s="164"/>
      <c r="H11" s="164"/>
      <c r="I11" s="164"/>
      <c r="J11" s="164"/>
      <c r="K11" s="164"/>
      <c r="L11" s="164">
        <v>2</v>
      </c>
      <c r="M11" s="164"/>
      <c r="N11" s="1"/>
      <c r="O11" s="1"/>
      <c r="P11" s="175">
        <f t="shared" si="0"/>
        <v>0</v>
      </c>
    </row>
    <row r="12" spans="1:16" ht="15.75" thickBot="1" x14ac:dyDescent="0.3">
      <c r="A12" s="168">
        <v>27</v>
      </c>
      <c r="B12" s="132" t="s">
        <v>110</v>
      </c>
      <c r="C12" s="11">
        <v>3</v>
      </c>
      <c r="D12" s="11">
        <v>3</v>
      </c>
      <c r="E12" s="176">
        <v>2</v>
      </c>
      <c r="F12" s="176"/>
      <c r="G12" s="176"/>
      <c r="H12" s="176"/>
      <c r="I12" s="176"/>
      <c r="J12" s="176"/>
      <c r="K12" s="176"/>
      <c r="L12" s="176">
        <v>1</v>
      </c>
      <c r="M12" s="176"/>
      <c r="N12" s="11">
        <v>1</v>
      </c>
      <c r="O12" s="11"/>
      <c r="P12" s="177">
        <f t="shared" si="0"/>
        <v>666.66666666666663</v>
      </c>
    </row>
    <row r="13" spans="1:16" ht="15.75" thickBot="1" x14ac:dyDescent="0.3"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65"/>
    </row>
    <row r="14" spans="1:16" x14ac:dyDescent="0.25">
      <c r="A14" s="166">
        <v>21</v>
      </c>
      <c r="B14" s="18" t="s">
        <v>111</v>
      </c>
      <c r="C14" s="5">
        <v>1</v>
      </c>
      <c r="D14" s="5">
        <v>0</v>
      </c>
      <c r="E14" s="173">
        <v>0</v>
      </c>
      <c r="F14" s="173"/>
      <c r="G14" s="173"/>
      <c r="H14" s="173"/>
      <c r="I14" s="173">
        <v>1</v>
      </c>
      <c r="J14" s="173"/>
      <c r="K14" s="173"/>
      <c r="L14" s="173">
        <v>1</v>
      </c>
      <c r="M14" s="173"/>
      <c r="N14" s="5"/>
      <c r="O14" s="5"/>
      <c r="P14" s="174">
        <v>0</v>
      </c>
    </row>
    <row r="15" spans="1:16" x14ac:dyDescent="0.25">
      <c r="A15" s="167">
        <v>26</v>
      </c>
      <c r="B15" s="13" t="s">
        <v>90</v>
      </c>
      <c r="C15" s="1">
        <v>1</v>
      </c>
      <c r="D15" s="1">
        <v>1</v>
      </c>
      <c r="E15" s="164">
        <v>0</v>
      </c>
      <c r="F15" s="164"/>
      <c r="G15" s="164"/>
      <c r="H15" s="164"/>
      <c r="I15" s="164"/>
      <c r="J15" s="164"/>
      <c r="K15" s="164"/>
      <c r="L15" s="164">
        <v>1</v>
      </c>
      <c r="M15" s="164"/>
      <c r="N15" s="1"/>
      <c r="O15" s="1"/>
      <c r="P15" s="175">
        <f t="shared" si="0"/>
        <v>0</v>
      </c>
    </row>
    <row r="16" spans="1:16" x14ac:dyDescent="0.25">
      <c r="A16" s="167">
        <v>20</v>
      </c>
      <c r="B16" s="13" t="s">
        <v>112</v>
      </c>
      <c r="C16" s="1">
        <v>1</v>
      </c>
      <c r="D16" s="1">
        <v>1</v>
      </c>
      <c r="E16" s="164">
        <v>0</v>
      </c>
      <c r="F16" s="164"/>
      <c r="G16" s="164"/>
      <c r="H16" s="164"/>
      <c r="I16" s="164"/>
      <c r="J16" s="164"/>
      <c r="K16" s="164"/>
      <c r="L16" s="164">
        <v>1</v>
      </c>
      <c r="M16" s="164"/>
      <c r="N16" s="1"/>
      <c r="O16" s="1"/>
      <c r="P16" s="175">
        <f t="shared" si="0"/>
        <v>0</v>
      </c>
    </row>
    <row r="17" spans="1:16" x14ac:dyDescent="0.25">
      <c r="A17" s="167">
        <v>25</v>
      </c>
      <c r="B17" s="13" t="s">
        <v>113</v>
      </c>
      <c r="C17" s="1">
        <v>1</v>
      </c>
      <c r="D17" s="1">
        <v>1</v>
      </c>
      <c r="E17" s="164">
        <v>0</v>
      </c>
      <c r="F17" s="164"/>
      <c r="G17" s="164"/>
      <c r="H17" s="164"/>
      <c r="I17" s="164"/>
      <c r="J17" s="164"/>
      <c r="K17" s="164">
        <v>1</v>
      </c>
      <c r="L17" s="164">
        <v>1</v>
      </c>
      <c r="M17" s="164"/>
      <c r="N17" s="1"/>
      <c r="O17" s="1"/>
      <c r="P17" s="175">
        <f t="shared" si="0"/>
        <v>0</v>
      </c>
    </row>
    <row r="18" spans="1:16" ht="15.75" thickBot="1" x14ac:dyDescent="0.3">
      <c r="A18" s="168">
        <v>13</v>
      </c>
      <c r="B18" s="132" t="s">
        <v>6</v>
      </c>
      <c r="C18" s="179">
        <v>1</v>
      </c>
      <c r="D18" s="179">
        <v>1</v>
      </c>
      <c r="E18" s="180">
        <v>1</v>
      </c>
      <c r="F18" s="180">
        <v>1</v>
      </c>
      <c r="G18" s="180"/>
      <c r="H18" s="180"/>
      <c r="I18" s="180"/>
      <c r="J18" s="180"/>
      <c r="K18" s="180"/>
      <c r="L18" s="180">
        <v>0</v>
      </c>
      <c r="M18" s="180"/>
      <c r="N18" s="179"/>
      <c r="O18" s="179"/>
      <c r="P18" s="181">
        <f t="shared" si="0"/>
        <v>1000</v>
      </c>
    </row>
    <row r="19" spans="1:16" ht="15.75" thickBot="1" x14ac:dyDescent="0.3">
      <c r="C19" s="39">
        <f>SUM(C3:C18)</f>
        <v>31</v>
      </c>
      <c r="D19" s="40">
        <f>SUM(D3:D18)</f>
        <v>28</v>
      </c>
      <c r="E19" s="40">
        <f>SUM(E3:E18)</f>
        <v>8</v>
      </c>
      <c r="F19" s="40">
        <f t="shared" ref="F19:K19" si="1">SUM(F3:F18)</f>
        <v>2</v>
      </c>
      <c r="G19" s="40">
        <f t="shared" si="1"/>
        <v>2</v>
      </c>
      <c r="H19" s="40">
        <f t="shared" si="1"/>
        <v>0</v>
      </c>
      <c r="I19" s="40">
        <f t="shared" si="1"/>
        <v>3</v>
      </c>
      <c r="J19" s="40">
        <f t="shared" si="1"/>
        <v>0</v>
      </c>
      <c r="K19" s="40">
        <f t="shared" si="1"/>
        <v>4</v>
      </c>
      <c r="L19" s="40">
        <f>SUM(L3:L18)</f>
        <v>21</v>
      </c>
      <c r="M19" s="40">
        <f t="shared" ref="M19:O19" si="2">SUM(M3:M18)</f>
        <v>0</v>
      </c>
      <c r="N19" s="40">
        <f t="shared" si="2"/>
        <v>3</v>
      </c>
      <c r="O19" s="42">
        <f t="shared" si="2"/>
        <v>3</v>
      </c>
      <c r="P19" s="178">
        <f t="shared" si="0"/>
        <v>285.71428571428572</v>
      </c>
    </row>
  </sheetData>
  <mergeCells count="3">
    <mergeCell ref="A1:A2"/>
    <mergeCell ref="B1:B2"/>
    <mergeCell ref="E1:P1"/>
  </mergeCells>
  <pageMargins left="0.7" right="0.7" top="0.75" bottom="0.75" header="0.3" footer="0.3"/>
  <ignoredErrors>
    <ignoredError sqref="F19:H1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E051E-F2A5-441A-BE4B-E43D1B6A45E3}">
  <dimension ref="A1"/>
  <sheetViews>
    <sheetView topLeftCell="A2"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B2FB2-1A1C-48AE-9F4A-B596F7153ECF}">
  <dimension ref="A2:D12"/>
  <sheetViews>
    <sheetView workbookViewId="0">
      <selection activeCell="D3" sqref="D3"/>
    </sheetView>
  </sheetViews>
  <sheetFormatPr baseColWidth="10" defaultRowHeight="15" x14ac:dyDescent="0.25"/>
  <cols>
    <col min="1" max="1" width="21.28515625" customWidth="1"/>
    <col min="15" max="15" width="5.85546875" customWidth="1"/>
  </cols>
  <sheetData>
    <row r="2" spans="1:4" x14ac:dyDescent="0.25">
      <c r="A2" s="2" t="s">
        <v>61</v>
      </c>
      <c r="B2" s="149" t="s">
        <v>63</v>
      </c>
      <c r="C2" s="2" t="s">
        <v>99</v>
      </c>
      <c r="D2" t="s">
        <v>104</v>
      </c>
    </row>
    <row r="3" spans="1:4" x14ac:dyDescent="0.25">
      <c r="A3" s="2" t="s">
        <v>57</v>
      </c>
      <c r="B3" s="2">
        <v>18</v>
      </c>
      <c r="C3" s="2" t="s">
        <v>98</v>
      </c>
    </row>
    <row r="4" spans="1:4" x14ac:dyDescent="0.25">
      <c r="A4" s="2" t="s">
        <v>58</v>
      </c>
      <c r="B4" s="2">
        <v>9</v>
      </c>
      <c r="C4" s="2" t="s">
        <v>92</v>
      </c>
    </row>
    <row r="5" spans="1:4" x14ac:dyDescent="0.25">
      <c r="A5" s="2" t="s">
        <v>59</v>
      </c>
      <c r="B5" s="2">
        <v>31</v>
      </c>
      <c r="C5" s="2" t="s">
        <v>103</v>
      </c>
    </row>
    <row r="6" spans="1:4" x14ac:dyDescent="0.25">
      <c r="A6" s="2" t="s">
        <v>60</v>
      </c>
      <c r="B6" s="2">
        <v>27</v>
      </c>
      <c r="C6" s="2" t="s">
        <v>97</v>
      </c>
    </row>
    <row r="7" spans="1:4" x14ac:dyDescent="0.25">
      <c r="A7" s="2" t="s">
        <v>62</v>
      </c>
      <c r="B7" s="2">
        <v>64</v>
      </c>
      <c r="C7" s="2" t="s">
        <v>91</v>
      </c>
    </row>
    <row r="8" spans="1:4" x14ac:dyDescent="0.25">
      <c r="A8" s="2" t="s">
        <v>64</v>
      </c>
      <c r="B8" s="2">
        <v>99</v>
      </c>
      <c r="C8" s="2" t="s">
        <v>88</v>
      </c>
    </row>
    <row r="9" spans="1:4" x14ac:dyDescent="0.25">
      <c r="A9" s="2" t="s">
        <v>65</v>
      </c>
      <c r="B9" s="2">
        <v>36</v>
      </c>
      <c r="C9" s="2" t="s">
        <v>100</v>
      </c>
    </row>
    <row r="10" spans="1:4" x14ac:dyDescent="0.25">
      <c r="A10" s="2" t="s">
        <v>84</v>
      </c>
      <c r="B10" s="2">
        <v>44</v>
      </c>
      <c r="C10" s="2" t="s">
        <v>48</v>
      </c>
    </row>
    <row r="11" spans="1:4" x14ac:dyDescent="0.25">
      <c r="A11" s="2"/>
      <c r="B11" s="2"/>
      <c r="C11" s="2"/>
    </row>
    <row r="12" spans="1:4" x14ac:dyDescent="0.25">
      <c r="A12" s="2" t="s">
        <v>66</v>
      </c>
      <c r="B12" s="2"/>
      <c r="C1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AAF9-2067-4506-A1C3-752BC52DAF5E}">
  <dimension ref="A1:U33"/>
  <sheetViews>
    <sheetView workbookViewId="0">
      <selection activeCell="H25" sqref="H25"/>
    </sheetView>
  </sheetViews>
  <sheetFormatPr baseColWidth="10" defaultRowHeight="15" x14ac:dyDescent="0.25"/>
  <cols>
    <col min="1" max="1" width="22" customWidth="1"/>
    <col min="2" max="2" width="8.140625" customWidth="1"/>
    <col min="3" max="7" width="6.7109375" customWidth="1"/>
    <col min="9" max="9" width="23.5703125" customWidth="1"/>
  </cols>
  <sheetData>
    <row r="1" spans="1:21" ht="15.75" thickBot="1" x14ac:dyDescent="0.3">
      <c r="A1" s="129" t="s">
        <v>1</v>
      </c>
      <c r="B1" s="130" t="s">
        <v>82</v>
      </c>
      <c r="C1" s="199" t="s">
        <v>83</v>
      </c>
      <c r="D1" s="200"/>
      <c r="E1" s="201" t="s">
        <v>76</v>
      </c>
      <c r="F1" s="201"/>
      <c r="G1" s="200"/>
      <c r="I1" s="143" t="s">
        <v>1</v>
      </c>
      <c r="J1" s="139" t="s">
        <v>82</v>
      </c>
      <c r="K1" s="139" t="s">
        <v>83</v>
      </c>
      <c r="L1" s="139" t="s">
        <v>76</v>
      </c>
      <c r="M1" s="140" t="s">
        <v>77</v>
      </c>
      <c r="O1" t="s">
        <v>86</v>
      </c>
      <c r="P1">
        <f>83.5*3</f>
        <v>250.5</v>
      </c>
      <c r="Q1">
        <v>100</v>
      </c>
      <c r="R1" t="s">
        <v>95</v>
      </c>
      <c r="T1" t="s">
        <v>83</v>
      </c>
      <c r="U1" t="s">
        <v>76</v>
      </c>
    </row>
    <row r="2" spans="1:21" x14ac:dyDescent="0.25">
      <c r="A2" s="126" t="s">
        <v>12</v>
      </c>
      <c r="B2" s="97" t="s">
        <v>85</v>
      </c>
      <c r="C2" s="133"/>
      <c r="D2" s="6"/>
      <c r="E2" s="18"/>
      <c r="F2" s="4"/>
      <c r="G2" s="6"/>
      <c r="I2" s="153" t="s">
        <v>17</v>
      </c>
      <c r="J2" s="148" t="s">
        <v>85</v>
      </c>
      <c r="K2" s="145">
        <f>13.05-13.05</f>
        <v>0</v>
      </c>
      <c r="L2" s="150">
        <f>61.36-18.14+6.14-50+1.19</f>
        <v>0.54999999999999938</v>
      </c>
      <c r="M2" s="151">
        <f t="shared" ref="M2:M21" si="0">SUM(J2:L2)</f>
        <v>0.54999999999999938</v>
      </c>
      <c r="O2" t="s">
        <v>87</v>
      </c>
      <c r="P2">
        <v>80.55</v>
      </c>
      <c r="Q2">
        <f>43.5*3</f>
        <v>130.5</v>
      </c>
      <c r="R2" t="s">
        <v>94</v>
      </c>
      <c r="T2">
        <f>43.5*6</f>
        <v>261</v>
      </c>
      <c r="U2">
        <v>1350</v>
      </c>
    </row>
    <row r="3" spans="1:21" x14ac:dyDescent="0.25">
      <c r="A3" s="127" t="s">
        <v>17</v>
      </c>
      <c r="B3" s="98" t="s">
        <v>85</v>
      </c>
      <c r="C3" s="131"/>
      <c r="D3" s="8"/>
      <c r="E3" s="13"/>
      <c r="F3" s="2"/>
      <c r="G3" s="8"/>
      <c r="I3" s="154" t="s">
        <v>18</v>
      </c>
      <c r="J3" s="135" t="s">
        <v>85</v>
      </c>
      <c r="K3" s="108">
        <v>13.05</v>
      </c>
      <c r="L3">
        <v>67.5</v>
      </c>
      <c r="M3" s="14">
        <f t="shared" si="0"/>
        <v>80.55</v>
      </c>
      <c r="O3" t="s">
        <v>88</v>
      </c>
      <c r="P3">
        <v>76</v>
      </c>
      <c r="Q3">
        <f>4*2.95</f>
        <v>11.8</v>
      </c>
      <c r="R3" t="s">
        <v>82</v>
      </c>
      <c r="T3">
        <f>T2/20</f>
        <v>13.05</v>
      </c>
      <c r="U3">
        <f>U2/20</f>
        <v>67.5</v>
      </c>
    </row>
    <row r="4" spans="1:21" x14ac:dyDescent="0.25">
      <c r="A4" s="127" t="s">
        <v>18</v>
      </c>
      <c r="B4" s="98" t="s">
        <v>85</v>
      </c>
      <c r="C4" s="131"/>
      <c r="D4" s="8"/>
      <c r="E4" s="13"/>
      <c r="F4" s="2"/>
      <c r="G4" s="8"/>
      <c r="I4" s="155" t="s">
        <v>15</v>
      </c>
      <c r="J4" s="136" t="s">
        <v>85</v>
      </c>
      <c r="K4" s="152">
        <f>13.05-13.05</f>
        <v>0</v>
      </c>
      <c r="L4">
        <f>61.36-8.14+1.19</f>
        <v>54.41</v>
      </c>
      <c r="M4" s="14">
        <f t="shared" si="0"/>
        <v>54.41</v>
      </c>
      <c r="O4" t="s">
        <v>89</v>
      </c>
      <c r="P4">
        <v>80</v>
      </c>
      <c r="Q4">
        <v>350</v>
      </c>
      <c r="R4" t="s">
        <v>95</v>
      </c>
      <c r="U4">
        <f>SUM(T3:U3)</f>
        <v>80.55</v>
      </c>
    </row>
    <row r="5" spans="1:21" x14ac:dyDescent="0.25">
      <c r="A5" s="127" t="s">
        <v>15</v>
      </c>
      <c r="B5" s="98" t="s">
        <v>85</v>
      </c>
      <c r="C5" s="131"/>
      <c r="D5" s="8"/>
      <c r="E5" s="13"/>
      <c r="F5" s="2"/>
      <c r="G5" s="8"/>
      <c r="I5" s="155" t="s">
        <v>14</v>
      </c>
      <c r="J5" s="136" t="s">
        <v>85</v>
      </c>
      <c r="K5" s="152">
        <f>13.05-13.05</f>
        <v>0</v>
      </c>
      <c r="L5">
        <f>67.5+13.05-70</f>
        <v>10.549999999999997</v>
      </c>
      <c r="M5" s="14">
        <f t="shared" si="0"/>
        <v>10.549999999999997</v>
      </c>
      <c r="O5" t="s">
        <v>90</v>
      </c>
      <c r="P5">
        <v>20</v>
      </c>
    </row>
    <row r="6" spans="1:21" x14ac:dyDescent="0.25">
      <c r="A6" s="127" t="s">
        <v>14</v>
      </c>
      <c r="B6" s="98" t="s">
        <v>85</v>
      </c>
      <c r="C6" s="131"/>
      <c r="D6" s="8"/>
      <c r="E6" s="13"/>
      <c r="F6" s="2"/>
      <c r="G6" s="8"/>
      <c r="I6" s="154" t="s">
        <v>25</v>
      </c>
      <c r="J6" s="135" t="s">
        <v>85</v>
      </c>
      <c r="K6" s="108">
        <v>13.05</v>
      </c>
      <c r="L6">
        <v>67.5</v>
      </c>
      <c r="M6" s="14">
        <f t="shared" si="0"/>
        <v>80.55</v>
      </c>
      <c r="O6" t="s">
        <v>101</v>
      </c>
      <c r="P6">
        <v>30</v>
      </c>
    </row>
    <row r="7" spans="1:21" x14ac:dyDescent="0.25">
      <c r="A7" s="127" t="s">
        <v>25</v>
      </c>
      <c r="B7" s="98"/>
      <c r="C7" s="131"/>
      <c r="D7" s="8"/>
      <c r="E7" s="13"/>
      <c r="F7" s="2"/>
      <c r="G7" s="8"/>
      <c r="I7" s="154" t="s">
        <v>19</v>
      </c>
      <c r="J7" s="135" t="s">
        <v>85</v>
      </c>
      <c r="K7" s="108">
        <v>13.05</v>
      </c>
      <c r="L7">
        <v>67.5</v>
      </c>
      <c r="M7" s="14">
        <f t="shared" si="0"/>
        <v>80.55</v>
      </c>
      <c r="O7" t="s">
        <v>91</v>
      </c>
      <c r="P7">
        <v>15</v>
      </c>
    </row>
    <row r="8" spans="1:21" x14ac:dyDescent="0.25">
      <c r="A8" s="127" t="s">
        <v>19</v>
      </c>
      <c r="B8" s="98" t="s">
        <v>85</v>
      </c>
      <c r="C8" s="131"/>
      <c r="D8" s="8"/>
      <c r="E8" s="13"/>
      <c r="F8" s="2"/>
      <c r="G8" s="8"/>
      <c r="I8" s="155" t="s">
        <v>24</v>
      </c>
      <c r="J8" s="136" t="s">
        <v>85</v>
      </c>
      <c r="K8" s="152">
        <f>13.05-13.05</f>
        <v>0</v>
      </c>
      <c r="L8" s="157">
        <f>67.5-67.5</f>
        <v>0</v>
      </c>
      <c r="M8" s="147">
        <f t="shared" si="0"/>
        <v>0</v>
      </c>
      <c r="O8" t="s">
        <v>93</v>
      </c>
      <c r="P8">
        <v>70</v>
      </c>
    </row>
    <row r="9" spans="1:21" x14ac:dyDescent="0.25">
      <c r="A9" s="137" t="s">
        <v>24</v>
      </c>
      <c r="B9" s="98" t="s">
        <v>85</v>
      </c>
      <c r="C9" s="131"/>
      <c r="D9" s="8"/>
      <c r="E9" s="13"/>
      <c r="F9" s="2"/>
      <c r="G9" s="8"/>
      <c r="I9" s="155" t="s">
        <v>20</v>
      </c>
      <c r="J9" s="136" t="s">
        <v>85</v>
      </c>
      <c r="K9" s="152">
        <f>13.05-13.05</f>
        <v>0</v>
      </c>
      <c r="L9">
        <f>61.36-18.14+1.19</f>
        <v>44.41</v>
      </c>
      <c r="M9" s="14">
        <f t="shared" si="0"/>
        <v>44.41</v>
      </c>
      <c r="O9" t="s">
        <v>92</v>
      </c>
      <c r="P9">
        <v>80.55</v>
      </c>
    </row>
    <row r="10" spans="1:21" x14ac:dyDescent="0.25">
      <c r="A10" s="127" t="s">
        <v>20</v>
      </c>
      <c r="B10" s="98" t="s">
        <v>85</v>
      </c>
      <c r="C10" s="131"/>
      <c r="D10" s="8"/>
      <c r="E10" s="13"/>
      <c r="F10" s="2"/>
      <c r="G10" s="8"/>
      <c r="I10" s="154" t="s">
        <v>52</v>
      </c>
      <c r="J10" s="135" t="s">
        <v>85</v>
      </c>
      <c r="K10" s="108">
        <v>13.05</v>
      </c>
      <c r="L10">
        <v>67.5</v>
      </c>
      <c r="M10" s="14">
        <f t="shared" si="0"/>
        <v>80.55</v>
      </c>
      <c r="O10" t="s">
        <v>96</v>
      </c>
      <c r="P10">
        <v>50</v>
      </c>
    </row>
    <row r="11" spans="1:21" x14ac:dyDescent="0.25">
      <c r="A11" s="127" t="s">
        <v>52</v>
      </c>
      <c r="B11" s="98" t="s">
        <v>85</v>
      </c>
      <c r="C11" s="131"/>
      <c r="D11" s="8"/>
      <c r="E11" s="13"/>
      <c r="F11" s="2"/>
      <c r="G11" s="8"/>
      <c r="I11" s="155" t="s">
        <v>46</v>
      </c>
      <c r="J11" s="136" t="s">
        <v>85</v>
      </c>
      <c r="K11" s="152">
        <f t="shared" ref="K11:K13" si="1">13.05-13.05</f>
        <v>0</v>
      </c>
      <c r="L11">
        <f>67.5+13.05-50</f>
        <v>30.549999999999997</v>
      </c>
      <c r="M11" s="14">
        <f t="shared" si="0"/>
        <v>30.549999999999997</v>
      </c>
      <c r="O11" t="s">
        <v>97</v>
      </c>
      <c r="P11">
        <v>40</v>
      </c>
    </row>
    <row r="12" spans="1:21" x14ac:dyDescent="0.25">
      <c r="A12" s="127" t="s">
        <v>46</v>
      </c>
      <c r="B12" s="98" t="s">
        <v>85</v>
      </c>
      <c r="C12" s="131"/>
      <c r="D12" s="8"/>
      <c r="E12" s="13"/>
      <c r="F12" s="2"/>
      <c r="G12" s="8"/>
      <c r="I12" s="155" t="s">
        <v>44</v>
      </c>
      <c r="J12" s="136">
        <f>2.95-2.95</f>
        <v>0</v>
      </c>
      <c r="K12" s="152">
        <f t="shared" si="1"/>
        <v>0</v>
      </c>
      <c r="L12">
        <f>67.5-34</f>
        <v>33.5</v>
      </c>
      <c r="M12" s="14">
        <f t="shared" si="0"/>
        <v>33.5</v>
      </c>
      <c r="O12" t="s">
        <v>102</v>
      </c>
      <c r="P12">
        <v>50</v>
      </c>
    </row>
    <row r="13" spans="1:21" x14ac:dyDescent="0.25">
      <c r="A13" s="127" t="s">
        <v>44</v>
      </c>
      <c r="B13" s="24"/>
      <c r="C13" s="131"/>
      <c r="D13" s="8"/>
      <c r="E13" s="13"/>
      <c r="F13" s="2"/>
      <c r="G13" s="8"/>
      <c r="I13" s="155" t="s">
        <v>22</v>
      </c>
      <c r="J13" s="136">
        <f>2.95-2.95</f>
        <v>0</v>
      </c>
      <c r="K13" s="152">
        <f t="shared" si="1"/>
        <v>0</v>
      </c>
      <c r="L13" s="17">
        <f>67-60</f>
        <v>7</v>
      </c>
      <c r="M13" s="142">
        <f t="shared" si="0"/>
        <v>7</v>
      </c>
    </row>
    <row r="14" spans="1:21" x14ac:dyDescent="0.25">
      <c r="A14" s="127" t="s">
        <v>45</v>
      </c>
      <c r="B14" s="24"/>
      <c r="C14" s="131"/>
      <c r="D14" s="8"/>
      <c r="E14" s="13"/>
      <c r="F14" s="2"/>
      <c r="G14" s="8"/>
      <c r="I14" s="155" t="s">
        <v>56</v>
      </c>
      <c r="J14" s="136" t="s">
        <v>85</v>
      </c>
      <c r="K14" s="152">
        <f>13.05-13.05</f>
        <v>0</v>
      </c>
      <c r="L14" s="157">
        <f>67.5-67.5</f>
        <v>0</v>
      </c>
      <c r="M14" s="147">
        <f t="shared" si="0"/>
        <v>0</v>
      </c>
    </row>
    <row r="15" spans="1:21" x14ac:dyDescent="0.25">
      <c r="A15" s="137" t="s">
        <v>22</v>
      </c>
      <c r="B15" s="24"/>
      <c r="C15" s="131"/>
      <c r="D15" s="8"/>
      <c r="E15" s="13"/>
      <c r="F15" s="2"/>
      <c r="G15" s="8"/>
      <c r="I15" s="155" t="s">
        <v>78</v>
      </c>
      <c r="J15" s="136">
        <f>2.95-2.95</f>
        <v>0</v>
      </c>
      <c r="K15" s="152">
        <f>13.05-13.05</f>
        <v>0</v>
      </c>
      <c r="L15" s="157">
        <f>67.5-67.5</f>
        <v>0</v>
      </c>
      <c r="M15" s="147">
        <f t="shared" si="0"/>
        <v>0</v>
      </c>
    </row>
    <row r="16" spans="1:21" x14ac:dyDescent="0.25">
      <c r="A16" s="137" t="s">
        <v>56</v>
      </c>
      <c r="B16" s="98" t="s">
        <v>85</v>
      </c>
      <c r="C16" s="131"/>
      <c r="D16" s="8"/>
      <c r="E16" s="13"/>
      <c r="F16" s="2"/>
      <c r="G16" s="8"/>
      <c r="I16" s="155" t="s">
        <v>50</v>
      </c>
      <c r="J16" s="136">
        <f>2.95-2.95</f>
        <v>0</v>
      </c>
      <c r="K16" s="152">
        <f>13.05-13.05</f>
        <v>0</v>
      </c>
      <c r="L16" s="157">
        <f>67.5-67.5</f>
        <v>0</v>
      </c>
      <c r="M16" s="147">
        <f t="shared" si="0"/>
        <v>0</v>
      </c>
    </row>
    <row r="17" spans="1:18" x14ac:dyDescent="0.25">
      <c r="A17" s="137" t="s">
        <v>48</v>
      </c>
      <c r="B17" s="24"/>
      <c r="C17" s="131"/>
      <c r="D17" s="8"/>
      <c r="E17" s="13"/>
      <c r="F17" s="2"/>
      <c r="G17" s="8"/>
      <c r="I17" s="155" t="s">
        <v>79</v>
      </c>
      <c r="J17" s="136">
        <f>2.95-2.95</f>
        <v>0</v>
      </c>
      <c r="K17" s="152">
        <f>13.05-13.05</f>
        <v>0</v>
      </c>
      <c r="L17" s="157">
        <f>67.5-67.5</f>
        <v>0</v>
      </c>
      <c r="M17" s="147">
        <f t="shared" si="0"/>
        <v>0</v>
      </c>
    </row>
    <row r="18" spans="1:18" x14ac:dyDescent="0.25">
      <c r="A18" s="137" t="s">
        <v>50</v>
      </c>
      <c r="B18" s="24"/>
      <c r="C18" s="131"/>
      <c r="D18" s="8"/>
      <c r="E18" s="13"/>
      <c r="F18" s="2"/>
      <c r="G18" s="8"/>
      <c r="I18" s="154" t="s">
        <v>80</v>
      </c>
      <c r="J18" s="135" t="s">
        <v>85</v>
      </c>
      <c r="K18" s="108">
        <v>13.05</v>
      </c>
      <c r="L18">
        <v>67.5</v>
      </c>
      <c r="M18" s="14">
        <f t="shared" si="0"/>
        <v>80.55</v>
      </c>
      <c r="P18">
        <f>SUM(P1:P17)</f>
        <v>842.59999999999991</v>
      </c>
      <c r="Q18">
        <f>SUM(Q1:Q6)</f>
        <v>592.29999999999995</v>
      </c>
      <c r="R18" s="138">
        <f>P18-Q18</f>
        <v>250.29999999999995</v>
      </c>
    </row>
    <row r="19" spans="1:18" x14ac:dyDescent="0.25">
      <c r="A19" s="137" t="s">
        <v>51</v>
      </c>
      <c r="B19" s="24"/>
      <c r="C19" s="131"/>
      <c r="D19" s="8"/>
      <c r="E19" s="13"/>
      <c r="F19" s="2"/>
      <c r="G19" s="8"/>
      <c r="I19" s="154" t="s">
        <v>81</v>
      </c>
      <c r="J19" s="135">
        <v>2.95</v>
      </c>
      <c r="K19" s="108">
        <v>13.05</v>
      </c>
      <c r="L19">
        <v>67.5</v>
      </c>
      <c r="M19" s="14">
        <f t="shared" si="0"/>
        <v>83.5</v>
      </c>
    </row>
    <row r="20" spans="1:18" x14ac:dyDescent="0.25">
      <c r="A20" s="127" t="s">
        <v>53</v>
      </c>
      <c r="B20" s="98" t="s">
        <v>85</v>
      </c>
      <c r="C20" s="131"/>
      <c r="D20" s="8"/>
      <c r="E20" s="13"/>
      <c r="F20" s="2"/>
      <c r="G20" s="8"/>
      <c r="I20" s="155" t="s">
        <v>68</v>
      </c>
      <c r="J20" s="136">
        <f t="shared" ref="J20:J21" si="2">2.95-2.95</f>
        <v>0</v>
      </c>
      <c r="K20" s="152">
        <f>13.05-13.05</f>
        <v>0</v>
      </c>
      <c r="L20">
        <f>67.5-24</f>
        <v>43.5</v>
      </c>
      <c r="M20" s="14">
        <f t="shared" si="0"/>
        <v>43.5</v>
      </c>
    </row>
    <row r="21" spans="1:18" ht="15.75" thickBot="1" x14ac:dyDescent="0.3">
      <c r="A21" s="127" t="s">
        <v>54</v>
      </c>
      <c r="B21" s="24"/>
      <c r="C21" s="131"/>
      <c r="D21" s="8"/>
      <c r="E21" s="13"/>
      <c r="F21" s="2"/>
      <c r="G21" s="8"/>
      <c r="I21" s="156" t="s">
        <v>67</v>
      </c>
      <c r="J21" s="144">
        <f t="shared" si="2"/>
        <v>0</v>
      </c>
      <c r="K21" s="146">
        <f>13.05-12.05</f>
        <v>1</v>
      </c>
      <c r="L21" s="35">
        <v>67.5</v>
      </c>
      <c r="M21" s="36">
        <f t="shared" si="0"/>
        <v>68.5</v>
      </c>
    </row>
    <row r="22" spans="1:18" x14ac:dyDescent="0.25">
      <c r="A22" s="127" t="s">
        <v>68</v>
      </c>
      <c r="B22" s="24"/>
      <c r="C22" s="131"/>
      <c r="D22" s="8"/>
      <c r="E22" s="13"/>
      <c r="F22" s="2"/>
      <c r="G22" s="8"/>
      <c r="P22">
        <v>13.05</v>
      </c>
    </row>
    <row r="23" spans="1:18" ht="15.75" thickBot="1" x14ac:dyDescent="0.3">
      <c r="A23" s="128" t="s">
        <v>67</v>
      </c>
      <c r="B23" s="25"/>
      <c r="C23" s="134"/>
      <c r="D23" s="12"/>
      <c r="E23" s="132"/>
      <c r="F23" s="10"/>
      <c r="G23" s="12"/>
      <c r="P23">
        <v>11.86</v>
      </c>
    </row>
    <row r="24" spans="1:18" x14ac:dyDescent="0.25">
      <c r="P24">
        <f>P22-P23</f>
        <v>1.1900000000000013</v>
      </c>
    </row>
    <row r="29" spans="1:18" ht="24" customHeight="1" x14ac:dyDescent="0.25">
      <c r="A29" s="202" t="s">
        <v>69</v>
      </c>
      <c r="B29" s="202"/>
      <c r="C29" s="202"/>
      <c r="D29" s="202"/>
      <c r="E29" s="202"/>
      <c r="F29" s="202"/>
      <c r="G29" s="202"/>
    </row>
    <row r="30" spans="1:18" x14ac:dyDescent="0.25">
      <c r="A30" s="198" t="s">
        <v>70</v>
      </c>
      <c r="B30" s="198"/>
      <c r="C30" s="198"/>
      <c r="D30" s="198"/>
      <c r="E30" s="198"/>
      <c r="F30" s="198"/>
      <c r="G30" s="198"/>
    </row>
    <row r="31" spans="1:18" x14ac:dyDescent="0.25">
      <c r="A31" s="198" t="s">
        <v>71</v>
      </c>
      <c r="B31" s="198"/>
      <c r="C31" s="198"/>
      <c r="D31" s="198"/>
      <c r="E31" s="198"/>
      <c r="F31" s="198"/>
      <c r="G31" s="198"/>
    </row>
    <row r="32" spans="1:18" x14ac:dyDescent="0.25">
      <c r="A32" s="198" t="s">
        <v>72</v>
      </c>
      <c r="B32" s="198"/>
      <c r="C32" s="198"/>
      <c r="D32" s="198"/>
      <c r="E32" s="198"/>
      <c r="F32" s="198"/>
      <c r="G32" s="198"/>
    </row>
    <row r="33" spans="1:7" x14ac:dyDescent="0.25">
      <c r="A33" s="198" t="s">
        <v>73</v>
      </c>
      <c r="B33" s="198"/>
      <c r="C33" s="198"/>
      <c r="D33" s="198"/>
      <c r="E33" s="198"/>
      <c r="F33" s="198"/>
      <c r="G33" s="198"/>
    </row>
  </sheetData>
  <mergeCells count="7">
    <mergeCell ref="A32:G32"/>
    <mergeCell ref="A33:G33"/>
    <mergeCell ref="C1:D1"/>
    <mergeCell ref="E1:G1"/>
    <mergeCell ref="A29:G29"/>
    <mergeCell ref="A30:G30"/>
    <mergeCell ref="A31:G3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ROSTER</vt:lpstr>
      <vt:lpstr>LINEUP</vt:lpstr>
      <vt:lpstr>Hoja2</vt:lpstr>
      <vt:lpstr>Hoja1</vt:lpstr>
      <vt:lpstr>CAMISAS PRESTADA</vt:lpstr>
      <vt:lpstr>PAGOS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Roman Hernandez</dc:creator>
  <cp:lastModifiedBy>Carlos Álvarez Corredor</cp:lastModifiedBy>
  <cp:lastPrinted>2025-09-19T13:35:05Z</cp:lastPrinted>
  <dcterms:created xsi:type="dcterms:W3CDTF">2024-01-30T08:02:03Z</dcterms:created>
  <dcterms:modified xsi:type="dcterms:W3CDTF">2026-02-18T09:56:44Z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2b86b6-105c-42b0-baea-516139aa0648_Enabled">
    <vt:lpwstr>true</vt:lpwstr>
  </property>
  <property fmtid="{D5CDD505-2E9C-101B-9397-08002B2CF9AE}" pid="3" name="MSIP_Label_f52b86b6-105c-42b0-baea-516139aa0648_SetDate">
    <vt:lpwstr>2026-02-18T09:21:44Z</vt:lpwstr>
  </property>
  <property fmtid="{D5CDD505-2E9C-101B-9397-08002B2CF9AE}" pid="4" name="MSIP_Label_f52b86b6-105c-42b0-baea-516139aa0648_Method">
    <vt:lpwstr>Privileged</vt:lpwstr>
  </property>
  <property fmtid="{D5CDD505-2E9C-101B-9397-08002B2CF9AE}" pid="5" name="MSIP_Label_f52b86b6-105c-42b0-baea-516139aa0648_Name">
    <vt:lpwstr>No clasificado</vt:lpwstr>
  </property>
  <property fmtid="{D5CDD505-2E9C-101B-9397-08002B2CF9AE}" pid="6" name="MSIP_Label_f52b86b6-105c-42b0-baea-516139aa0648_SiteId">
    <vt:lpwstr>f7f6e87a-d0f1-4577-8c3e-d56b96f3d1c3</vt:lpwstr>
  </property>
  <property fmtid="{D5CDD505-2E9C-101B-9397-08002B2CF9AE}" pid="7" name="MSIP_Label_f52b86b6-105c-42b0-baea-516139aa0648_ActionId">
    <vt:lpwstr>86ee3123-5623-4810-8624-8bcf40f83ce3</vt:lpwstr>
  </property>
  <property fmtid="{D5CDD505-2E9C-101B-9397-08002B2CF9AE}" pid="8" name="MSIP_Label_f52b86b6-105c-42b0-baea-516139aa0648_ContentBits">
    <vt:lpwstr>0</vt:lpwstr>
  </property>
  <property fmtid="{D5CDD505-2E9C-101B-9397-08002B2CF9AE}" pid="9" name="MSIP_Label_f52b86b6-105c-42b0-baea-516139aa0648_Tag">
    <vt:lpwstr>10, 0, 1, 1</vt:lpwstr>
  </property>
</Properties>
</file>